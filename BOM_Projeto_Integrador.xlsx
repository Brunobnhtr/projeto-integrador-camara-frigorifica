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Compras" sheetId="1" state="visible" r:id="rId1"/>
    <sheet name="Ordem de Construção" sheetId="2" state="visible" r:id="rId2"/>
    <sheet name="Dados do Projeto" sheetId="3" state="visible" r:id="rId3"/>
  </sheets>
  <definedNames>
    <definedName name="_xlnm._FilterDatabase" localSheetId="0" hidden="1">'Lista de Compras'!$A$4:$K$197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4546A"/>
      <sz val="10"/>
    </font>
    <font>
      <b val="1"/>
      <color rgb="00FFFFFF"/>
    </font>
    <font>
      <b val="1"/>
      <color rgb="001D3557"/>
      <sz val="11"/>
    </font>
    <font>
      <color rgb="000563C1"/>
      <sz val="9"/>
      <u val="single"/>
    </font>
    <font>
      <color rgb="00C55A11"/>
      <sz val="9"/>
      <u val="single"/>
    </font>
    <font>
      <b val="1"/>
      <sz val="12"/>
    </font>
    <font>
      <b val="1"/>
      <color rgb="00FFFFFF"/>
      <sz val="12"/>
    </font>
    <font>
      <b val="1"/>
      <color rgb="00FFFFFF"/>
      <sz val="14"/>
    </font>
    <font>
      <b val="1"/>
      <color rgb="001D3557"/>
    </font>
    <font>
      <b val="1"/>
    </font>
  </fonts>
  <fills count="6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5A524"/>
      </patternFill>
    </fill>
    <fill>
      <patternFill patternType="solid">
        <fgColor rgb="00EFF2F5"/>
      </patternFill>
    </fill>
    <fill>
      <patternFill patternType="solid">
        <fgColor rgb="002B8A3E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/>
    </xf>
    <xf numFmtId="4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4" fontId="0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7" fillId="0" borderId="0" pivotButton="0" quotePrefix="0" xfId="0"/>
    <xf numFmtId="4" fontId="8" fillId="5" borderId="1" pivotButton="0" quotePrefix="0" xfId="0"/>
    <xf numFmtId="0" fontId="9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1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7" customWidth="1" min="3" max="3"/>
    <col width="56" customWidth="1" min="4" max="4"/>
    <col width="32" customWidth="1" min="5" max="5"/>
    <col width="24" customWidth="1" min="6" max="6"/>
    <col width="14" customWidth="1" min="7" max="7"/>
    <col width="26" customWidth="1" min="8" max="8"/>
    <col width="28" customWidth="1" min="9" max="9"/>
    <col width="15" customWidth="1" min="10" max="10"/>
    <col width="13" customWidth="1" min="11" max="11"/>
  </cols>
  <sheetData>
    <row r="1" ht="30" customHeight="1">
      <c r="A1" s="1" t="inlineStr">
        <is>
          <t>PROJETO INTEGRADOR — Planta Industrial Didática com Câmara Frigorífica</t>
        </is>
      </c>
    </row>
    <row r="2">
      <c r="A2" s="2" t="inlineStr">
        <is>
          <t>Lista de materiais · gerada de 03_lista_materiais.md em 14/08/2026 07:42 · arquitetura 127 V CA → 24 V CC → 12 / 5 / 3,3 V</t>
        </is>
      </c>
    </row>
    <row r="4" ht="30" customHeight="1">
      <c r="A4" s="3" t="inlineStr">
        <is>
          <t>#</t>
        </is>
      </c>
      <c r="B4" s="3" t="inlineStr">
        <is>
          <t>Item</t>
        </is>
      </c>
      <c r="C4" s="3" t="inlineStr">
        <is>
          <t>Qtd</t>
        </is>
      </c>
      <c r="D4" s="3" t="inlineStr">
        <is>
          <t>Especificação</t>
        </is>
      </c>
      <c r="E4" s="3" t="inlineStr">
        <is>
          <t>Observação</t>
        </is>
      </c>
      <c r="F4" s="3" t="inlineStr">
        <is>
          <t>🔎 Mercado Livre</t>
        </is>
      </c>
      <c r="G4" s="3" t="inlineStr">
        <is>
          <t>🔎 Amazon BR</t>
        </is>
      </c>
      <c r="H4" s="3" t="inlineStr">
        <is>
          <t>🌏 AliExpress (importar)</t>
        </is>
      </c>
      <c r="I4" s="3" t="inlineStr">
        <is>
          <t>Link escolhido (cole aqui)</t>
        </is>
      </c>
      <c r="J4" s="3" t="inlineStr">
        <is>
          <t>Preço unit. (R$)</t>
        </is>
      </c>
      <c r="K4" s="3" t="inlineStr">
        <is>
          <t>Total (R$)</t>
        </is>
      </c>
    </row>
    <row r="5" ht="22" customHeight="1">
      <c r="A5" s="4" t="inlineStr">
        <is>
          <t>E.1 — Subestação: entrada AC e fonte principal</t>
        </is>
      </c>
    </row>
    <row r="6">
      <c r="A6" s="5" t="n">
        <v>1</v>
      </c>
      <c r="B6" s="6" t="inlineStr">
        <is>
          <t>Fonte chaveada 24 Vcc</t>
        </is>
      </c>
      <c r="C6" s="5" t="inlineStr">
        <is>
          <t>1</t>
        </is>
      </c>
      <c r="D6" s="6" t="inlineStr">
        <is>
          <t>24 V / 10 A / 240 W, bivolt 110-220 V (chave seletora ou auto-range). Modelo tipo S-240-24</t>
        </is>
      </c>
      <c r="E6" s="6" t="inlineStr">
        <is>
          <t>fonte chaveada 24v 10a 240w</t>
        </is>
      </c>
      <c r="F6" s="7">
        <f>HYPERLINK("https://lista.mercadolivre.com.br/fonte-chaveada-24v-10a-240w","🔎 fonte chaveada 24v 10a 240w")</f>
        <v/>
      </c>
      <c r="G6" s="7">
        <f>HYPERLINK("https://www.amazon.com.br/s?k=fonte+chaveada+24v+10a+240w","🔎 Amazon")</f>
        <v/>
      </c>
      <c r="H6" s="8" t="inlineStr"/>
      <c r="I6" s="8" t="inlineStr"/>
      <c r="J6" s="9" t="inlineStr"/>
      <c r="K6" s="9">
        <f>IF(C6*J6=0,"",C6*J6)</f>
        <v/>
      </c>
    </row>
    <row r="7">
      <c r="A7" s="10" t="n">
        <v>2</v>
      </c>
      <c r="B7" s="11" t="inlineStr">
        <is>
          <t>Disjuntor DIN 2P 6 A curva C</t>
        </is>
      </c>
      <c r="C7" s="10" t="inlineStr">
        <is>
          <t>1</t>
        </is>
      </c>
      <c r="D7" s="11" t="inlineStr">
        <is>
          <t>Bipolar, 6 A, curva C (por causa do inrush da fonte), 3 kA</t>
        </is>
      </c>
      <c r="E7" s="11" t="inlineStr">
        <is>
          <t>disjuntor bipolar 6a curva c din</t>
        </is>
      </c>
      <c r="F7" s="12">
        <f>HYPERLINK("https://lista.mercadolivre.com.br/disjuntor-bipolar-6a-curva-c-din","🔎 disjuntor bipolar 6a curva c")</f>
        <v/>
      </c>
      <c r="G7" s="12">
        <f>HYPERLINK("https://www.amazon.com.br/s?k=disjuntor+bipolar+6a+curva+c+din","🔎 Amazon")</f>
        <v/>
      </c>
      <c r="H7" s="13" t="inlineStr"/>
      <c r="I7" s="13" t="inlineStr"/>
      <c r="J7" s="14" t="inlineStr"/>
      <c r="K7" s="14">
        <f>IF(C7*J7=0,"",C7*J7)</f>
        <v/>
      </c>
    </row>
    <row r="8">
      <c r="A8" s="5" t="n">
        <v>3</v>
      </c>
      <c r="B8" s="6" t="inlineStr">
        <is>
          <t>Chave rotativa 0-1 22 mm</t>
        </is>
      </c>
      <c r="C8" s="5" t="inlineStr">
        <is>
          <t>1</t>
        </is>
      </c>
      <c r="D8" s="6" t="inlineStr">
        <is>
          <t>≥ 6 A / 250 V AC, 2 posições com retenção, fixação 22 mm</t>
        </is>
      </c>
      <c r="E8" s="6" t="inlineStr">
        <is>
          <t>chave seletora 2 posicoes 22mm</t>
        </is>
      </c>
      <c r="F8" s="7">
        <f>HYPERLINK("https://lista.mercadolivre.com.br/chave-seletora-2-posicoes-22mm","🔎 chave seletora 2 posicoes 22")</f>
        <v/>
      </c>
      <c r="G8" s="7">
        <f>HYPERLINK("https://www.amazon.com.br/s?k=chave+seletora+2+posicoes+22mm","🔎 Amazon")</f>
        <v/>
      </c>
      <c r="H8" s="8" t="inlineStr"/>
      <c r="I8" s="8" t="inlineStr"/>
      <c r="J8" s="9" t="inlineStr"/>
      <c r="K8" s="9">
        <f>IF(C8*J8=0,"",C8*J8)</f>
        <v/>
      </c>
    </row>
    <row r="9">
      <c r="A9" s="10" t="n">
        <v>4</v>
      </c>
      <c r="B9" s="11" t="inlineStr">
        <is>
          <t>Cabo PP 3×1,5 mm² + plugue</t>
        </is>
      </c>
      <c r="C9" s="10" t="inlineStr">
        <is>
          <t>1,5 m</t>
        </is>
      </c>
      <c r="D9" s="11" t="inlineStr">
        <is>
          <t>Cabo de entrada AC com plugue 2P+T 10 A</t>
        </is>
      </c>
      <c r="E9" s="11" t="inlineStr">
        <is>
          <t>cabo pp 3x1,5 com plugue</t>
        </is>
      </c>
      <c r="F9" s="12">
        <f>HYPERLINK("https://lista.mercadolivre.com.br/cabo-pp-3x1-5-com-plugue","🔎 cabo pp 3x1,5 com plugue")</f>
        <v/>
      </c>
      <c r="G9" s="12">
        <f>HYPERLINK("https://www.amazon.com.br/s?k=cabo+pp+3x1%2C5+com+plugue","🔎 Amazon")</f>
        <v/>
      </c>
      <c r="H9" s="13" t="inlineStr"/>
      <c r="I9" s="13" t="inlineStr"/>
      <c r="J9" s="14" t="inlineStr"/>
      <c r="K9" s="14">
        <f>IF(C9*J9=0,"",C9*J9)</f>
        <v/>
      </c>
    </row>
    <row r="10">
      <c r="A10" s="5" t="n">
        <v>5</v>
      </c>
      <c r="B10" s="6" t="inlineStr">
        <is>
          <t>Prensa-cabo PG9 / PG13</t>
        </is>
      </c>
      <c r="C10" s="5" t="inlineStr">
        <is>
          <t>3</t>
        </is>
      </c>
      <c r="D10" s="6" t="inlineStr">
        <is>
          <t>Entrada e saída de cabos da caixa da subestação</t>
        </is>
      </c>
      <c r="E10" s="6" t="inlineStr">
        <is>
          <t>prensa cabo pg9</t>
        </is>
      </c>
      <c r="F10" s="7">
        <f>HYPERLINK("https://lista.mercadolivre.com.br/prensa-cabo-pg9","🔎 prensa cabo pg9")</f>
        <v/>
      </c>
      <c r="G10" s="7">
        <f>HYPERLINK("https://www.amazon.com.br/s?k=prensa+cabo+pg9","🔎 Amazon")</f>
        <v/>
      </c>
      <c r="H10" s="8" t="inlineStr"/>
      <c r="I10" s="8" t="inlineStr"/>
      <c r="J10" s="9" t="inlineStr"/>
      <c r="K10" s="9">
        <f>IF(C10*J10=0,"",C10*J10)</f>
        <v/>
      </c>
    </row>
    <row r="11">
      <c r="A11" s="10" t="n">
        <v>6</v>
      </c>
      <c r="B11" s="11" t="inlineStr">
        <is>
          <t>Borne DIN 4 mm²</t>
        </is>
      </c>
      <c r="C11" s="10" t="inlineStr">
        <is>
          <t>6</t>
        </is>
      </c>
      <c r="D11" s="11" t="inlineStr">
        <is>
          <t>Distribuição 24 V e 0 V na subestação</t>
        </is>
      </c>
      <c r="E11" s="11" t="inlineStr">
        <is>
          <t>borne trilho din 4mm parafuso</t>
        </is>
      </c>
      <c r="F11" s="12">
        <f>HYPERLINK("https://lista.mercadolivre.com.br/borne-trilho-din-4mm-parafuso","🔎 borne trilho din 4mm parafus")</f>
        <v/>
      </c>
      <c r="G11" s="12">
        <f>HYPERLINK("https://www.amazon.com.br/s?k=borne+trilho+din+4mm+parafuso","🔎 Amazon")</f>
        <v/>
      </c>
      <c r="H11" s="13" t="inlineStr"/>
      <c r="I11" s="13" t="inlineStr"/>
      <c r="J11" s="14" t="inlineStr"/>
      <c r="K11" s="14">
        <f>IF(C11*J11=0,"",C11*J11)</f>
        <v/>
      </c>
    </row>
    <row r="12">
      <c r="A12" s="5" t="n">
        <v>7</v>
      </c>
      <c r="B12" s="6" t="inlineStr">
        <is>
          <t>Cooler 60 mm 24 V</t>
        </is>
      </c>
      <c r="C12" s="5" t="inlineStr">
        <is>
          <t>1</t>
        </is>
      </c>
      <c r="D12" s="6" t="inlineStr">
        <is>
          <t>Exaustão da caixa da subestação (~18 W de perda). ⚠️ 24 V — é a única tensão que existe dentro da caixa. Alternativa: 2× de 12 V em série</t>
        </is>
      </c>
      <c r="E12" s="6" t="inlineStr">
        <is>
          <t>cooler 60mm 24v</t>
        </is>
      </c>
      <c r="F12" s="7">
        <f>HYPERLINK("https://lista.mercadolivre.com.br/cooler-60mm-24v","🔎 cooler 60mm 24v")</f>
        <v/>
      </c>
      <c r="G12" s="7">
        <f>HYPERLINK("https://www.amazon.com.br/s?k=cooler+60mm+24v","🔎 Amazon")</f>
        <v/>
      </c>
      <c r="H12" s="15">
        <f>HYPERLINK("https://pt.aliexpress.com/w/wholesale-60mm-fan-24v-dc.html","🌏 60mm fan 24V DC")</f>
        <v/>
      </c>
      <c r="I12" s="8" t="inlineStr"/>
      <c r="J12" s="9" t="inlineStr"/>
      <c r="K12" s="9">
        <f>IF(C12*J12=0,"",C12*J12)</f>
        <v/>
      </c>
    </row>
    <row r="13">
      <c r="A13" s="10" t="n">
        <v>8</v>
      </c>
      <c r="B13" s="11" t="inlineStr">
        <is>
          <t>Grade + filtro 60 mm</t>
        </is>
      </c>
      <c r="C13" s="10" t="inlineStr">
        <is>
          <t>1</t>
        </is>
      </c>
      <c r="D13" s="11" t="inlineStr">
        <is>
          <t>Veneziana de entrada de ar da subestação</t>
        </is>
      </c>
      <c r="E13" s="11" t="inlineStr">
        <is>
          <t>grade cooler 60mm com filtro</t>
        </is>
      </c>
      <c r="F13" s="12">
        <f>HYPERLINK("https://lista.mercadolivre.com.br/grade-cooler-60mm-com-filtro","🔎 grade cooler 60mm com filtro")</f>
        <v/>
      </c>
      <c r="G13" s="12">
        <f>HYPERLINK("https://www.amazon.com.br/s?k=grade+cooler+60mm+com+filtro","🔎 Amazon")</f>
        <v/>
      </c>
      <c r="H13" s="13" t="inlineStr"/>
      <c r="I13" s="13" t="inlineStr"/>
      <c r="J13" s="14" t="inlineStr"/>
      <c r="K13" s="14">
        <f>IF(C13*J13=0,"",C13*J13)</f>
        <v/>
      </c>
    </row>
    <row r="14" ht="22" customHeight="1">
      <c r="A14" s="4" t="inlineStr">
        <is>
          <t>E.2 — Conversores de tensão (os "transformadores" da maquete)</t>
        </is>
      </c>
    </row>
    <row r="15">
      <c r="A15" s="10" t="n">
        <v>9</v>
      </c>
      <c r="B15" s="11" t="inlineStr">
        <is>
          <t>⭐ Kit 2× Módulo LM2596 com display</t>
        </is>
      </c>
      <c r="C15" s="10" t="inlineStr">
        <is>
          <t>1 kit</t>
        </is>
      </c>
      <c r="D15" s="11" t="inlineStr">
        <is>
          <t>Step-down 3 A, Vin até 40 V, saída ajustável, display LED vermelho de 3 dígitos integrado. Um módulo vira o T2, o outro vira o T3</t>
        </is>
      </c>
      <c r="E15" s="11" t="inlineStr">
        <is>
          <t>ver abaixo</t>
        </is>
      </c>
      <c r="F15" s="12">
        <f>HYPERLINK("https://lista.mercadolivre.com.br/kit-2-modulo-lm2596-display","🔎 kit 2 modulo lm2596 display")</f>
        <v/>
      </c>
      <c r="G15" s="12">
        <f>HYPERLINK("https://www.amazon.com.br/s?k=kit+2+modulo+lm2596+display","🔎 Amazon")</f>
        <v/>
      </c>
      <c r="H15" s="16">
        <f>HYPERLINK("https://pt.aliexpress.com/w/wholesale-lm2596-buck-converter-voltmeter-display.html","🌏 LM2596 buck converter volt")</f>
        <v/>
      </c>
      <c r="I15" s="13" t="inlineStr">
        <is>
          <t>Mercado Livre</t>
        </is>
      </c>
      <c r="J15" s="14" t="inlineStr"/>
      <c r="K15" s="14">
        <f>IF(C15*J15=0,"",C15*J15)</f>
        <v/>
      </c>
    </row>
    <row r="16">
      <c r="A16" s="5" t="n">
        <v>10</v>
      </c>
      <c r="B16" s="6" t="inlineStr">
        <is>
          <t>→ T2 (poste P2, comando)</t>
        </is>
      </c>
      <c r="C16" s="5" t="inlineStr">
        <is>
          <t>—</t>
        </is>
      </c>
      <c r="D16" s="6" t="inlineStr">
        <is>
          <t>1º módulo do kit — alimenta Arduino, Nextion, SD/RTC, lógica dos BTS, placa PI-1 e os LEDs da iluminação da maquete</t>
        </is>
      </c>
      <c r="E16" s="6" t="inlineStr">
        <is>
          <t>5,10 V</t>
        </is>
      </c>
      <c r="F16" s="8" t="inlineStr"/>
      <c r="G16" s="8" t="inlineStr"/>
      <c r="H16" s="8" t="inlineStr"/>
      <c r="I16" s="8" t="inlineStr"/>
      <c r="J16" s="9" t="inlineStr"/>
      <c r="K16" s="9">
        <f>IF(C16*J16=0,"",C16*J16)</f>
        <v/>
      </c>
    </row>
    <row r="17">
      <c r="A17" s="10" t="n">
        <v>11</v>
      </c>
      <c r="B17" s="11" t="inlineStr">
        <is>
          <t>→ T3 (poste P3, auxiliares)</t>
        </is>
      </c>
      <c r="C17" s="10" t="inlineStr">
        <is>
          <t>—</t>
        </is>
      </c>
      <c r="D17" s="11" t="inlineStr">
        <is>
          <t>2º módulo do kit — alimenta as fans internas e os coolers</t>
        </is>
      </c>
      <c r="E17" s="11" t="inlineStr">
        <is>
          <t>12,0 V</t>
        </is>
      </c>
      <c r="F17" s="13" t="inlineStr"/>
      <c r="G17" s="13" t="inlineStr"/>
      <c r="H17" s="13" t="inlineStr"/>
      <c r="I17" s="13" t="inlineStr"/>
      <c r="J17" s="14" t="inlineStr"/>
      <c r="K17" s="14">
        <f>IF(C17*J17=0,"",C17*J17)</f>
        <v/>
      </c>
    </row>
    <row r="18">
      <c r="A18" s="5" t="n">
        <v>12</v>
      </c>
      <c r="B18" s="6" t="inlineStr">
        <is>
          <t>Kit LM2596 reserva</t>
        </is>
      </c>
      <c r="C18" s="5" t="inlineStr">
        <is>
          <t>1 kit</t>
        </is>
      </c>
      <c r="D18" s="6" t="inlineStr">
        <is>
          <t>Opcional mas recomendado. São os únicos conversores do projeto; queimar um na véspera sem reserva significa não apresentar</t>
        </is>
      </c>
      <c r="E18" s="6" t="inlineStr">
        <is>
          <t>—</t>
        </is>
      </c>
      <c r="F18" s="7">
        <f>HYPERLINK("https://lista.mercadolivre.com.br/kit-lm2596-reserva","🔎 kit lm2596 reserva")</f>
        <v/>
      </c>
      <c r="G18" s="7">
        <f>HYPERLINK("https://www.amazon.com.br/s?k=kit+lm2596+reserva","🔎 Amazon")</f>
        <v/>
      </c>
      <c r="H18" s="15">
        <f>HYPERLINK("https://pt.aliexpress.com/w/wholesale-lm2596-buck-converter-voltmeter-display.html","🌏 LM2596 buck converter volt")</f>
        <v/>
      </c>
      <c r="I18" s="8" t="inlineStr"/>
      <c r="J18" s="9" t="inlineStr"/>
      <c r="K18" s="9">
        <f>IF(C18*J18=0,"",C18*J18)</f>
        <v/>
      </c>
    </row>
    <row r="19">
      <c r="A19" s="10" t="n">
        <v>13</v>
      </c>
      <c r="B19" s="11" t="inlineStr">
        <is>
          <t>Dissipador de alumínio ~20 × 15 × 10 mm</t>
        </is>
      </c>
      <c r="C19" s="10" t="inlineStr">
        <is>
          <t>2</t>
        </is>
      </c>
      <c r="D19" s="11" t="inlineStr">
        <is>
          <t>⚠️ Obrigatório, colado no CI LM2596S de cada módulo. Sem ele o T3 passa dos 100 °C dentro do tubo — ver Doc 02 §2.8</t>
        </is>
      </c>
      <c r="E19" s="11" t="inlineStr">
        <is>
          <t>—</t>
        </is>
      </c>
      <c r="F19" s="12">
        <f>HYPERLINK("https://lista.mercadolivre.com.br/dissipador-aluminio-20-15-10-mm","🔎 dissipador aluminio 20 15 10")</f>
        <v/>
      </c>
      <c r="G19" s="12">
        <f>HYPERLINK("https://www.amazon.com.br/s?k=dissipador+aluminio+20+15+10+mm","🔎 Amazon")</f>
        <v/>
      </c>
      <c r="H19" s="16">
        <f>HYPERLINK("https://pt.aliexpress.com/w/wholesale-aluminum-heatsink-small.html","🌏 aluminum heatsink small")</f>
        <v/>
      </c>
      <c r="I19" s="13" t="inlineStr"/>
      <c r="J19" s="14" t="inlineStr"/>
      <c r="K19" s="14">
        <f>IF(C19*J19=0,"",C19*J19)</f>
        <v/>
      </c>
    </row>
    <row r="20">
      <c r="A20" s="5" t="n">
        <v>14</v>
      </c>
      <c r="B20" s="6" t="inlineStr">
        <is>
          <t>Fita térmica dupla face</t>
        </is>
      </c>
      <c r="C20" s="5" t="inlineStr">
        <is>
          <t>1</t>
        </is>
      </c>
      <c r="D20" s="6" t="inlineStr">
        <is>
          <t>Fixação dos dissipadores</t>
        </is>
      </c>
      <c r="E20" s="6" t="inlineStr">
        <is>
          <t>—</t>
        </is>
      </c>
      <c r="F20" s="7">
        <f>HYPERLINK("https://lista.mercadolivre.com.br/fita-termica-dupla-face","🔎 fita termica dupla face")</f>
        <v/>
      </c>
      <c r="G20" s="7">
        <f>HYPERLINK("https://www.amazon.com.br/s?k=fita+termica+dupla+face","🔎 Amazon")</f>
        <v/>
      </c>
      <c r="H20" s="15">
        <f>HYPERLINK("https://pt.aliexpress.com/w/wholesale-thermal-adhesive-tape-double-sided.html","🌏 thermal adhesive tape doub")</f>
        <v/>
      </c>
      <c r="I20" s="8" t="inlineStr"/>
      <c r="J20" s="9" t="inlineStr"/>
      <c r="K20" s="9">
        <f>IF(C20*J20=0,"",C20*J20)</f>
        <v/>
      </c>
    </row>
    <row r="21">
      <c r="A21" s="10" t="n">
        <v>15</v>
      </c>
      <c r="B21" s="11" t="inlineStr">
        <is>
          <t>Acrílico transparente 1 mm</t>
        </is>
      </c>
      <c r="C21" s="10" t="inlineStr">
        <is>
          <t>1 lâmina</t>
        </is>
      </c>
      <c r="D21" s="11" t="inlineStr">
        <is>
          <t>Janelas de visualização nos 3 tubos dos postes (~20 × 12 mm cada) — protege o display e mantém o visual fechado</t>
        </is>
      </c>
      <c r="E21" s="11" t="inlineStr">
        <is>
          <t>—</t>
        </is>
      </c>
      <c r="F21" s="12">
        <f>HYPERLINK("https://lista.mercadolivre.com.br/acrilico-transparente-1-mm","🔎 acrilico transparente 1 mm")</f>
        <v/>
      </c>
      <c r="G21" s="12">
        <f>HYPERLINK("https://www.amazon.com.br/s?k=acrilico+transparente+1+mm","🔎 Amazon")</f>
        <v/>
      </c>
      <c r="H21" s="13" t="inlineStr"/>
      <c r="I21" s="13" t="inlineStr"/>
      <c r="J21" s="14" t="inlineStr"/>
      <c r="K21" s="14">
        <f>IF(C21*J21=0,"",C21*J21)</f>
        <v/>
      </c>
    </row>
    <row r="22">
      <c r="A22" s="5" t="n">
        <v>16</v>
      </c>
      <c r="B22" s="6" t="inlineStr">
        <is>
          <t>Voltímetro + amperímetro digital 3 fios</t>
        </is>
      </c>
      <c r="C22" s="5" t="inlineStr">
        <is>
          <t>1</t>
        </is>
      </c>
      <c r="D22" s="6" t="inlineStr">
        <is>
          <t>Único medidor comprado à parte — vai na caixa de derivação do P1, mostrando os 24,0 V do barramento e a corrente das Peltier ao vivo. Faixa: 0-100 V / 10 A</t>
        </is>
      </c>
      <c r="E22" s="6" t="inlineStr">
        <is>
          <t>—</t>
        </is>
      </c>
      <c r="F22" s="7">
        <f>HYPERLINK("https://lista.mercadolivre.com.br/voltimetro-amperimetro-digital-3-fios","🔎 voltimetro amperimetro digit")</f>
        <v/>
      </c>
      <c r="G22" s="7">
        <f>HYPERLINK("https://www.amazon.com.br/s?k=voltimetro+amperimetro+digital+3+fios","🔎 Amazon")</f>
        <v/>
      </c>
      <c r="H22" s="15">
        <f>HYPERLINK("https://pt.aliexpress.com/w/wholesale-dc-voltmeter-ammeter-100v-10a-digital.html","🌏 DC voltmeter ammeter 100V ")</f>
        <v/>
      </c>
      <c r="I22" s="8" t="inlineStr"/>
      <c r="J22" s="9" t="inlineStr"/>
      <c r="K22" s="9">
        <f>IF(C22*J22=0,"",C22*J22)</f>
        <v/>
      </c>
    </row>
    <row r="23" ht="22" customHeight="1">
      <c r="A23" s="4" t="inlineStr">
        <is>
          <t>E.3 — Proteção do sistema de energia</t>
        </is>
      </c>
    </row>
    <row r="24">
      <c r="A24" s="5" t="n">
        <v>17</v>
      </c>
      <c r="B24" s="6" t="inlineStr">
        <is>
          <t>Porta-fusível mini automotivo DIN</t>
        </is>
      </c>
      <c r="C24" s="5" t="inlineStr">
        <is>
          <t>3</t>
        </is>
      </c>
      <c r="D24" s="6" t="inlineStr">
        <is>
          <t>Trilho DIN 35 mm</t>
        </is>
      </c>
      <c r="E24" s="6" t="inlineStr">
        <is>
          <t>F1, F2, F3 — entrada dos 3 ramais</t>
        </is>
      </c>
      <c r="F24" s="7">
        <f>HYPERLINK("https://lista.mercadolivre.com.br/porta-fusivel-mini-automotivo-din","🔎 porta fusivel mini automotiv")</f>
        <v/>
      </c>
      <c r="G24" s="7">
        <f>HYPERLINK("https://www.amazon.com.br/s?k=porta+fusivel+mini+automotivo+din","🔎 Amazon")</f>
        <v/>
      </c>
      <c r="H24" s="8" t="inlineStr"/>
      <c r="I24" s="8" t="inlineStr"/>
      <c r="J24" s="9" t="inlineStr"/>
      <c r="K24" s="9">
        <f>IF(C24*J24=0,"",C24*J24)</f>
        <v/>
      </c>
    </row>
    <row r="25">
      <c r="A25" s="10" t="n">
        <v>18</v>
      </c>
      <c r="B25" s="11" t="inlineStr">
        <is>
          <t>Fusível mini automotivo 10 A</t>
        </is>
      </c>
      <c r="C25" s="10" t="inlineStr">
        <is>
          <t>2</t>
        </is>
      </c>
      <c r="D25" s="11" t="inlineStr">
        <is>
          <t>1 uso + 1 reserva</t>
        </is>
      </c>
      <c r="E25" s="11" t="inlineStr">
        <is>
          <t>F1 — ramal R1 (potência 24 V, 6,0 A)</t>
        </is>
      </c>
      <c r="F25" s="12">
        <f>HYPERLINK("https://lista.mercadolivre.com.br/fusivel-mini-automotivo-10","🔎 fusivel mini automotivo 10")</f>
        <v/>
      </c>
      <c r="G25" s="12">
        <f>HYPERLINK("https://www.amazon.com.br/s?k=fusivel+mini+automotivo+10","🔎 Amazon")</f>
        <v/>
      </c>
      <c r="H25" s="13" t="inlineStr"/>
      <c r="I25" s="13" t="inlineStr"/>
      <c r="J25" s="14" t="inlineStr"/>
      <c r="K25" s="14">
        <f>IF(C25*J25=0,"",C25*J25)</f>
        <v/>
      </c>
    </row>
    <row r="26">
      <c r="A26" s="5" t="n">
        <v>19</v>
      </c>
      <c r="B26" s="6" t="inlineStr">
        <is>
          <t>Fusível mini automotivo 2 A</t>
        </is>
      </c>
      <c r="C26" s="5" t="inlineStr">
        <is>
          <t>4</t>
        </is>
      </c>
      <c r="D26" s="6" t="inlineStr">
        <is>
          <t>2 usos + 2 reservas</t>
        </is>
      </c>
      <c r="E26" s="6" t="inlineStr">
        <is>
          <t>F2 (comando) e F3 (auxiliares)</t>
        </is>
      </c>
      <c r="F26" s="7">
        <f>HYPERLINK("https://lista.mercadolivre.com.br/fusivel-mini-automotivo-2","🔎 fusivel mini automotivo 2")</f>
        <v/>
      </c>
      <c r="G26" s="7">
        <f>HYPERLINK("https://www.amazon.com.br/s?k=fusivel+mini+automotivo+2","🔎 Amazon")</f>
        <v/>
      </c>
      <c r="H26" s="8" t="inlineStr"/>
      <c r="I26" s="8" t="inlineStr"/>
      <c r="J26" s="9" t="inlineStr"/>
      <c r="K26" s="9">
        <f>IF(C26*J26=0,"",C26*J26)</f>
        <v/>
      </c>
    </row>
    <row r="27">
      <c r="A27" s="10" t="n">
        <v>20</v>
      </c>
      <c r="B27" s="11" t="inlineStr">
        <is>
          <t>Terminal olhal M4 amarelo</t>
        </is>
      </c>
      <c r="C27" s="10" t="inlineStr">
        <is>
          <t>10</t>
        </is>
      </c>
      <c r="D27" s="11" t="inlineStr">
        <is>
          <t>Aterramento e barramento de 0 V</t>
        </is>
      </c>
      <c r="E27" s="11" t="inlineStr">
        <is>
          <t>—</t>
        </is>
      </c>
      <c r="F27" s="12">
        <f>HYPERLINK("https://lista.mercadolivre.com.br/terminal-olhal-m4-amarelo","🔎 terminal olhal m4 amarelo")</f>
        <v/>
      </c>
      <c r="G27" s="12">
        <f>HYPERLINK("https://www.amazon.com.br/s?k=terminal+olhal+m4+amarelo","🔎 Amazon")</f>
        <v/>
      </c>
      <c r="H27" s="13" t="inlineStr"/>
      <c r="I27" s="13" t="inlineStr"/>
      <c r="J27" s="14" t="inlineStr"/>
      <c r="K27" s="14">
        <f>IF(C27*J27=0,"",C27*J27)</f>
        <v/>
      </c>
    </row>
    <row r="28" ht="22" customHeight="1">
      <c r="A28" s="4" t="inlineStr">
        <is>
          <t>M.1 — Base e estrutura</t>
        </is>
      </c>
    </row>
    <row r="29">
      <c r="A29" s="10" t="n">
        <v>21</v>
      </c>
      <c r="B29" s="11" t="inlineStr">
        <is>
          <t>MDF 12 mm</t>
        </is>
      </c>
      <c r="C29" s="10" t="inlineStr">
        <is>
          <t>1 chapa</t>
        </is>
      </c>
      <c r="D29" s="11" t="inlineStr">
        <is>
          <t>1500 × 500 mm — tampo da base</t>
        </is>
      </c>
      <c r="E29" s="11" t="inlineStr"/>
      <c r="F29" s="12">
        <f>HYPERLINK("https://lista.mercadolivre.com.br/mdf-12-mm","🔎 mdf 12 mm")</f>
        <v/>
      </c>
      <c r="G29" s="12">
        <f>HYPERLINK("https://www.amazon.com.br/s?k=mdf+12+mm","🔎 Amazon")</f>
        <v/>
      </c>
      <c r="H29" s="13" t="inlineStr"/>
      <c r="I29" s="13" t="inlineStr"/>
      <c r="J29" s="14" t="inlineStr"/>
      <c r="K29" s="14">
        <f>IF(C29*J29=0,"",C29*J29)</f>
        <v/>
      </c>
    </row>
    <row r="30">
      <c r="A30" s="5" t="n">
        <v>22</v>
      </c>
      <c r="B30" s="6" t="inlineStr">
        <is>
          <t>MDF 15 mm</t>
        </is>
      </c>
      <c r="C30" s="5" t="inlineStr">
        <is>
          <t>—</t>
        </is>
      </c>
      <c r="D30" s="6" t="inlineStr">
        <is>
          <t>Moldura perimetral 40 mm de altura (4 tiras)</t>
        </is>
      </c>
      <c r="E30" s="6" t="inlineStr"/>
      <c r="F30" s="7">
        <f>HYPERLINK("https://lista.mercadolivre.com.br/mdf-15-mm","🔎 mdf 15 mm")</f>
        <v/>
      </c>
      <c r="G30" s="7">
        <f>HYPERLINK("https://www.amazon.com.br/s?k=mdf+15+mm","🔎 Amazon")</f>
        <v/>
      </c>
      <c r="H30" s="8" t="inlineStr"/>
      <c r="I30" s="8" t="inlineStr"/>
      <c r="J30" s="9" t="inlineStr"/>
      <c r="K30" s="9">
        <f>IF(C30*J30=0,"",C30*J30)</f>
        <v/>
      </c>
    </row>
    <row r="31">
      <c r="A31" s="10" t="n">
        <v>23</v>
      </c>
      <c r="B31" s="11" t="inlineStr">
        <is>
          <t>MDF 15 mm</t>
        </is>
      </c>
      <c r="C31" s="10" t="inlineStr">
        <is>
          <t>3 tiras</t>
        </is>
      </c>
      <c r="D31" s="11" t="inlineStr">
        <is>
          <t>Travessas de reforço 15 × 40 mm, com entalhe de 20 × 25 mm no centro</t>
        </is>
      </c>
      <c r="E31" s="11" t="inlineStr"/>
      <c r="F31" s="12">
        <f>HYPERLINK("https://lista.mercadolivre.com.br/mdf-15-mm","🔎 mdf 15 mm")</f>
        <v/>
      </c>
      <c r="G31" s="12">
        <f>HYPERLINK("https://www.amazon.com.br/s?k=mdf+15+mm","🔎 Amazon")</f>
        <v/>
      </c>
      <c r="H31" s="13" t="inlineStr"/>
      <c r="I31" s="13" t="inlineStr"/>
      <c r="J31" s="14" t="inlineStr"/>
      <c r="K31" s="14">
        <f>IF(C31*J31=0,"",C31*J31)</f>
        <v/>
      </c>
    </row>
    <row r="32">
      <c r="A32" s="5" t="n">
        <v>24</v>
      </c>
      <c r="B32" s="6" t="inlineStr">
        <is>
          <t>Pés de borracha antiderrapante</t>
        </is>
      </c>
      <c r="C32" s="5" t="inlineStr">
        <is>
          <t>8</t>
        </is>
      </c>
      <c r="D32" s="6" t="inlineStr">
        <is>
          <t>Autoadesivos, Ø 25 mm — a base tem 1,5 m e pesa ~18 kg</t>
        </is>
      </c>
      <c r="E32" s="6" t="inlineStr"/>
      <c r="F32" s="7">
        <f>HYPERLINK("https://lista.mercadolivre.com.br/pes-borracha-antiderrapante","🔎 pes borracha antiderrapante")</f>
        <v/>
      </c>
      <c r="G32" s="7">
        <f>HYPERLINK("https://www.amazon.com.br/s?k=pes+borracha+antiderrapante","🔎 Amazon")</f>
        <v/>
      </c>
      <c r="H32" s="8" t="inlineStr"/>
      <c r="I32" s="8" t="inlineStr"/>
      <c r="J32" s="9" t="inlineStr"/>
      <c r="K32" s="9">
        <f>IF(C32*J32=0,"",C32*J32)</f>
        <v/>
      </c>
    </row>
    <row r="33">
      <c r="A33" s="10" t="n">
        <v>25</v>
      </c>
      <c r="B33" s="11" t="inlineStr">
        <is>
          <t>Conector circular GX16 8 pinos</t>
        </is>
      </c>
      <c r="C33" s="10" t="inlineStr">
        <is>
          <t>1 par</t>
        </is>
      </c>
      <c r="D33" s="11" t="inlineStr">
        <is>
          <t>Opcional — só na versão modular (união elétrica entre os 2 módulos)</t>
        </is>
      </c>
      <c r="E33" s="11" t="inlineStr"/>
      <c r="F33" s="12">
        <f>HYPERLINK("https://lista.mercadolivre.com.br/conector-circular-gx16-8-pinos","🔎 conector circular gx16 8 pin")</f>
        <v/>
      </c>
      <c r="G33" s="12">
        <f>HYPERLINK("https://www.amazon.com.br/s?k=conector+circular+gx16+8+pinos","🔎 Amazon")</f>
        <v/>
      </c>
      <c r="H33" s="16">
        <f>HYPERLINK("https://pt.aliexpress.com/w/wholesale-gx16-8-pin-aviation-connector.html","🌏 GX16 8 pin aviation connec")</f>
        <v/>
      </c>
      <c r="I33" s="13" t="inlineStr"/>
      <c r="J33" s="14" t="inlineStr"/>
      <c r="K33" s="14">
        <f>IF(C33*J33=0,"",C33*J33)</f>
        <v/>
      </c>
    </row>
    <row r="34">
      <c r="A34" s="5" t="n">
        <v>26</v>
      </c>
      <c r="B34" s="6" t="inlineStr">
        <is>
          <t>Pinos-guia Ø 6 mm + buchas</t>
        </is>
      </c>
      <c r="C34" s="5" t="inlineStr">
        <is>
          <t>2</t>
        </is>
      </c>
      <c r="D34" s="6" t="inlineStr">
        <is>
          <t>Opcional — alinhamento dos módulos</t>
        </is>
      </c>
      <c r="E34" s="6" t="inlineStr"/>
      <c r="F34" s="7">
        <f>HYPERLINK("https://lista.mercadolivre.com.br/pinos-guia-6-mm-buchas","🔎 pinos guia 6 mm buchas")</f>
        <v/>
      </c>
      <c r="G34" s="7">
        <f>HYPERLINK("https://www.amazon.com.br/s?k=pinos+guia+6+mm+buchas","🔎 Amazon")</f>
        <v/>
      </c>
      <c r="H34" s="8" t="inlineStr"/>
      <c r="I34" s="8" t="inlineStr"/>
      <c r="J34" s="9" t="inlineStr"/>
      <c r="K34" s="9">
        <f>IF(C34*J34=0,"",C34*J34)</f>
        <v/>
      </c>
    </row>
    <row r="35">
      <c r="A35" s="10" t="n">
        <v>27</v>
      </c>
      <c r="B35" s="11" t="inlineStr">
        <is>
          <t>Alças de transporte</t>
        </is>
      </c>
      <c r="C35" s="10" t="inlineStr">
        <is>
          <t>2</t>
        </is>
      </c>
      <c r="D35" s="11" t="inlineStr">
        <is>
          <t>Alça embutida de baú/case, laterais</t>
        </is>
      </c>
      <c r="E35" s="11" t="inlineStr"/>
      <c r="F35" s="12">
        <f>HYPERLINK("https://lista.mercadolivre.com.br/alcas-transporte","🔎 alcas transporte")</f>
        <v/>
      </c>
      <c r="G35" s="12">
        <f>HYPERLINK("https://www.amazon.com.br/s?k=alcas+transporte","🔎 Amazon")</f>
        <v/>
      </c>
      <c r="H35" s="13" t="inlineStr"/>
      <c r="I35" s="13" t="inlineStr"/>
      <c r="J35" s="14" t="inlineStr"/>
      <c r="K35" s="14">
        <f>IF(C35*J35=0,"",C35*J35)</f>
        <v/>
      </c>
    </row>
    <row r="36">
      <c r="A36" s="5" t="n">
        <v>28</v>
      </c>
      <c r="B36" s="6" t="inlineStr">
        <is>
          <t>Parafusos M5×20, M4×16, M3×12</t>
        </is>
      </c>
      <c r="C36" s="5" t="inlineStr">
        <is>
          <t>kits</t>
        </is>
      </c>
      <c r="D36" s="6" t="inlineStr">
        <is>
          <t>Fixações gerais</t>
        </is>
      </c>
      <c r="E36" s="6" t="inlineStr"/>
      <c r="F36" s="7">
        <f>HYPERLINK("https://lista.mercadolivre.com.br/parafusos-m5-20-m4-16-m3-12","🔎 parafusos m5 20, m4 16, m3 1")</f>
        <v/>
      </c>
      <c r="G36" s="7">
        <f>HYPERLINK("https://www.amazon.com.br/s?k=parafusos+m5+20%2C+m4+16%2C+m3+12","🔎 Amazon")</f>
        <v/>
      </c>
      <c r="H36" s="8" t="inlineStr"/>
      <c r="I36" s="8" t="inlineStr"/>
      <c r="J36" s="9" t="inlineStr"/>
      <c r="K36" s="9">
        <f>IF(C36*J36=0,"",C36*J36)</f>
        <v/>
      </c>
    </row>
    <row r="37">
      <c r="A37" s="10" t="n">
        <v>29</v>
      </c>
      <c r="B37" s="11" t="inlineStr">
        <is>
          <t>Insertos rosqueados M4/M5 p/ MDF</t>
        </is>
      </c>
      <c r="C37" s="10" t="inlineStr">
        <is>
          <t>20</t>
        </is>
      </c>
      <c r="D37" s="11" t="inlineStr">
        <is>
          <t>Evita espanar a rosca no MDF</t>
        </is>
      </c>
      <c r="E37" s="11" t="inlineStr"/>
      <c r="F37" s="12">
        <f>HYPERLINK("https://lista.mercadolivre.com.br/insertos-rosqueados-m4-m5-p-mdf","🔎 insertos rosqueados m4 m5 p ")</f>
        <v/>
      </c>
      <c r="G37" s="12">
        <f>HYPERLINK("https://www.amazon.com.br/s?k=insertos+rosqueados+m4+m5+p+mdf","🔎 Amazon")</f>
        <v/>
      </c>
      <c r="H37" s="13" t="inlineStr"/>
      <c r="I37" s="13" t="inlineStr"/>
      <c r="J37" s="14" t="inlineStr"/>
      <c r="K37" s="14">
        <f>IF(C37*J37=0,"",C37*J37)</f>
        <v/>
      </c>
    </row>
    <row r="38" ht="22" customHeight="1">
      <c r="A38" s="4" t="inlineStr">
        <is>
          <t>M.2 — Subestação (caixa)</t>
        </is>
      </c>
    </row>
    <row r="39">
      <c r="A39" s="10" t="n">
        <v>30</v>
      </c>
      <c r="B39" s="11" t="inlineStr">
        <is>
          <t>MDF 9 mm ou acrílico opaco 4 mm</t>
        </is>
      </c>
      <c r="C39" s="10" t="inlineStr">
        <is>
          <t>—</t>
        </is>
      </c>
      <c r="D39" s="11" t="inlineStr">
        <is>
          <t>Caixa 260 × 190 × 150 mm (L×P×A), frente voltada para a rua</t>
        </is>
      </c>
      <c r="E39" s="11" t="inlineStr"/>
      <c r="F39" s="12">
        <f>HYPERLINK("https://lista.mercadolivre.com.br/mdf-9-mm-acrilico-opaco-4-mm","🔎 mdf 9 mm acrilico opaco 4 mm")</f>
        <v/>
      </c>
      <c r="G39" s="12">
        <f>HYPERLINK("https://www.amazon.com.br/s?k=mdf+9+mm+acrilico+opaco+4+mm","🔎 Amazon")</f>
        <v/>
      </c>
      <c r="H39" s="13" t="inlineStr"/>
      <c r="I39" s="13" t="inlineStr"/>
      <c r="J39" s="14" t="inlineStr"/>
      <c r="K39" s="14">
        <f>IF(C39*J39=0,"",C39*J39)</f>
        <v/>
      </c>
    </row>
    <row r="40">
      <c r="A40" s="5" t="n">
        <v>31</v>
      </c>
      <c r="B40" s="6" t="inlineStr">
        <is>
          <t>Dobradiça pequena + fecho</t>
        </is>
      </c>
      <c r="C40" s="5" t="inlineStr">
        <is>
          <t>1 jogo</t>
        </is>
      </c>
      <c r="D40" s="6" t="inlineStr">
        <is>
          <t>Tampa de manutenção</t>
        </is>
      </c>
      <c r="E40" s="6" t="inlineStr"/>
      <c r="F40" s="7">
        <f>HYPERLINK("https://lista.mercadolivre.com.br/dobradica-pequena-fecho","🔎 dobradica pequena fecho")</f>
        <v/>
      </c>
      <c r="G40" s="7">
        <f>HYPERLINK("https://www.amazon.com.br/s?k=dobradica+pequena+fecho","🔎 Amazon")</f>
        <v/>
      </c>
      <c r="H40" s="8" t="inlineStr"/>
      <c r="I40" s="8" t="inlineStr"/>
      <c r="J40" s="9" t="inlineStr"/>
      <c r="K40" s="9">
        <f>IF(C40*J40=0,"",C40*J40)</f>
        <v/>
      </c>
    </row>
    <row r="41">
      <c r="A41" s="10" t="n">
        <v>32</v>
      </c>
      <c r="B41" s="11" t="inlineStr">
        <is>
          <t>Tela metálica / alambrado miniatura</t>
        </is>
      </c>
      <c r="C41" s="10" t="inlineStr">
        <is>
          <t>1</t>
        </is>
      </c>
      <c r="D41" s="11" t="inlineStr">
        <is>
          <t>Cerca do pátio da subestação (tela de aço, malha 3 mm)</t>
        </is>
      </c>
      <c r="E41" s="11" t="inlineStr"/>
      <c r="F41" s="12">
        <f>HYPERLINK("https://lista.mercadolivre.com.br/tela-metalica-alambrado-miniatura","🔎 tela metalica alambrado mini")</f>
        <v/>
      </c>
      <c r="G41" s="12">
        <f>HYPERLINK("https://www.amazon.com.br/s?k=tela+metalica+alambrado+miniatura","🔎 Amazon")</f>
        <v/>
      </c>
      <c r="H41" s="13" t="inlineStr"/>
      <c r="I41" s="13" t="inlineStr"/>
      <c r="J41" s="14" t="inlineStr"/>
      <c r="K41" s="14">
        <f>IF(C41*J41=0,"",C41*J41)</f>
        <v/>
      </c>
    </row>
    <row r="42">
      <c r="A42" s="5" t="n">
        <v>33</v>
      </c>
      <c r="B42" s="6" t="inlineStr">
        <is>
          <t>Pedrisco / brita fina (aquário)</t>
        </is>
      </c>
      <c r="C42" s="5" t="inlineStr">
        <is>
          <t>500 g</t>
        </is>
      </c>
      <c r="D42" s="6" t="inlineStr">
        <is>
          <t>Piso do pátio da subestação — como nas subestações reais</t>
        </is>
      </c>
      <c r="E42" s="6" t="inlineStr"/>
      <c r="F42" s="7">
        <f>HYPERLINK("https://lista.mercadolivre.com.br/pedrisco-brita-fina","🔎 pedrisco brita fina")</f>
        <v/>
      </c>
      <c r="G42" s="7">
        <f>HYPERLINK("https://www.amazon.com.br/s?k=pedrisco+brita+fina","🔎 Amazon")</f>
        <v/>
      </c>
      <c r="H42" s="8" t="inlineStr"/>
      <c r="I42" s="8" t="inlineStr"/>
      <c r="J42" s="9" t="inlineStr"/>
      <c r="K42" s="9">
        <f>IF(C42*J42=0,"",C42*J42)</f>
        <v/>
      </c>
    </row>
    <row r="43">
      <c r="A43" s="10" t="n">
        <v>34</v>
      </c>
      <c r="B43" s="11" t="inlineStr">
        <is>
          <t>Placa "PERIGO ALTA TENSÃO"</t>
        </is>
      </c>
      <c r="C43" s="10" t="inlineStr">
        <is>
          <t>2</t>
        </is>
      </c>
      <c r="D43" s="11" t="inlineStr">
        <is>
          <t>Impressa em papel adesivo, ~15 × 10 mm</t>
        </is>
      </c>
      <c r="E43" s="11" t="inlineStr"/>
      <c r="F43" s="12">
        <f>HYPERLINK("https://lista.mercadolivre.com.br/placa-perigo-alta-tensao","🔎 placa perigo alta tensao")</f>
        <v/>
      </c>
      <c r="G43" s="12">
        <f>HYPERLINK("https://www.amazon.com.br/s?k=placa+perigo+alta+tensao","🔎 Amazon")</f>
        <v/>
      </c>
      <c r="H43" s="13" t="inlineStr"/>
      <c r="I43" s="13" t="inlineStr"/>
      <c r="J43" s="14" t="inlineStr"/>
      <c r="K43" s="14">
        <f>IF(C43*J43=0,"",C43*J43)</f>
        <v/>
      </c>
    </row>
    <row r="44" ht="22" customHeight="1">
      <c r="A44" s="4" t="inlineStr">
        <is>
          <t>M.3 — Postes e linha de distribuição</t>
        </is>
      </c>
    </row>
    <row r="45">
      <c r="A45" s="10" t="n">
        <v>35</v>
      </c>
      <c r="B45" s="11" t="inlineStr">
        <is>
          <t>Tubo de alumínio Ø 8 mm</t>
        </is>
      </c>
      <c r="C45" s="10" t="inlineStr">
        <is>
          <t>1,5 m</t>
        </is>
      </c>
      <c r="D45" s="11" t="inlineStr">
        <is>
          <t>Cortar em 3 postes de 350 mm (300 mm visíveis + 50 mm de encaixe)</t>
        </is>
      </c>
      <c r="E45" s="11" t="inlineStr"/>
      <c r="F45" s="12">
        <f>HYPERLINK("https://lista.mercadolivre.com.br/tubo-aluminio-8-mm","🔎 tubo aluminio 8 mm")</f>
        <v/>
      </c>
      <c r="G45" s="12">
        <f>HYPERLINK("https://www.amazon.com.br/s?k=tubo+aluminio+8+mm","🔎 Amazon")</f>
        <v/>
      </c>
      <c r="H45" s="13" t="inlineStr"/>
      <c r="I45" s="13" t="inlineStr"/>
      <c r="J45" s="14" t="inlineStr"/>
      <c r="K45" s="14">
        <f>IF(C45*J45=0,"",C45*J45)</f>
        <v/>
      </c>
    </row>
    <row r="46">
      <c r="A46" s="5" t="n">
        <v>36</v>
      </c>
      <c r="B46" s="6" t="inlineStr">
        <is>
          <t>Barra chata de alumínio 12 × 2 mm</t>
        </is>
      </c>
      <c r="C46" s="5" t="inlineStr">
        <is>
          <t>40 cm</t>
        </is>
      </c>
      <c r="D46" s="6" t="inlineStr">
        <is>
          <t>Cruzetas — 3 peças de 90 mm + 3 de 60 mm</t>
        </is>
      </c>
      <c r="E46" s="6" t="inlineStr"/>
      <c r="F46" s="7">
        <f>HYPERLINK("https://lista.mercadolivre.com.br/barra-chata-aluminio-12-2-mm","🔎 barra chata aluminio 12 2 mm")</f>
        <v/>
      </c>
      <c r="G46" s="7">
        <f>HYPERLINK("https://www.amazon.com.br/s?k=barra+chata+aluminio+12+2+mm","🔎 Amazon")</f>
        <v/>
      </c>
      <c r="H46" s="8" t="inlineStr"/>
      <c r="I46" s="8" t="inlineStr"/>
      <c r="J46" s="9" t="inlineStr"/>
      <c r="K46" s="9">
        <f>IF(C46*J46=0,"",C46*J46)</f>
        <v/>
      </c>
    </row>
    <row r="47">
      <c r="A47" s="10" t="n">
        <v>37</v>
      </c>
      <c r="B47" s="11" t="inlineStr">
        <is>
          <t>Fio rígido ENCAPADO 1,00 mm² VERMELHO ⬆</t>
        </is>
      </c>
      <c r="C47" s="10" t="inlineStr">
        <is>
          <t>2 m</t>
        </is>
      </c>
      <c r="D47" s="11" t="inlineStr">
        <is>
          <t>Ramal R1 (potência, 6,0 A). ⚠️ Subiu de 0,75 para 1,00 mm² por causa da corrente das 2 Peltier. Nunca condutor nu — em CC qualquer ponte metálica é curto franco</t>
        </is>
      </c>
      <c r="E47" s="11" t="inlineStr"/>
      <c r="F47" s="12">
        <f>HYPERLINK("https://lista.mercadolivre.com.br/fio-rigido-encapado-1-00-mm-vermelho","🔎 fio rigido encapado 1,00 mm ")</f>
        <v/>
      </c>
      <c r="G47" s="12">
        <f>HYPERLINK("https://www.amazon.com.br/s?k=fio+rigido+encapado+1%2C00+mm+vermelho","🔎 Amazon")</f>
        <v/>
      </c>
      <c r="H47" s="13" t="inlineStr"/>
      <c r="I47" s="13" t="inlineStr"/>
      <c r="J47" s="14" t="inlineStr"/>
      <c r="K47" s="14">
        <f>IF(C47*J47=0,"",C47*J47)</f>
        <v/>
      </c>
    </row>
    <row r="48">
      <c r="A48" s="5" t="n">
        <v>38</v>
      </c>
      <c r="B48" s="6" t="inlineStr">
        <is>
          <t>Fio rígido ENCAPADO 0,50 mm² MARROM</t>
        </is>
      </c>
      <c r="C48" s="5" t="inlineStr">
        <is>
          <t>2 m</t>
        </is>
      </c>
      <c r="D48" s="6" t="inlineStr">
        <is>
          <t>Ramal R2 (comando)</t>
        </is>
      </c>
      <c r="E48" s="6" t="inlineStr"/>
      <c r="F48" s="7">
        <f>HYPERLINK("https://lista.mercadolivre.com.br/fio-rigido-encapado-0-50-mm-marrom","🔎 fio rigido encapado 0,50 mm ")</f>
        <v/>
      </c>
      <c r="G48" s="7">
        <f>HYPERLINK("https://www.amazon.com.br/s?k=fio+rigido+encapado+0%2C50+mm+marrom","🔎 Amazon")</f>
        <v/>
      </c>
      <c r="H48" s="8" t="inlineStr"/>
      <c r="I48" s="8" t="inlineStr"/>
      <c r="J48" s="9" t="inlineStr"/>
      <c r="K48" s="9">
        <f>IF(C48*J48=0,"",C48*J48)</f>
        <v/>
      </c>
    </row>
    <row r="49">
      <c r="A49" s="10" t="n">
        <v>39</v>
      </c>
      <c r="B49" s="11" t="inlineStr">
        <is>
          <t>Fio rígido ENCAPADO 0,50 mm² CINZA</t>
        </is>
      </c>
      <c r="C49" s="10" t="inlineStr">
        <is>
          <t>2 m</t>
        </is>
      </c>
      <c r="D49" s="11" t="inlineStr">
        <is>
          <t>Ramal R3 (auxiliares)</t>
        </is>
      </c>
      <c r="E49" s="11" t="inlineStr"/>
      <c r="F49" s="12">
        <f>HYPERLINK("https://lista.mercadolivre.com.br/fio-rigido-encapado-0-50-mm-cinza","🔎 fio rigido encapado 0,50 mm ")</f>
        <v/>
      </c>
      <c r="G49" s="12">
        <f>HYPERLINK("https://www.amazon.com.br/s?k=fio+rigido+encapado+0%2C50+mm+cinza","🔎 Amazon")</f>
        <v/>
      </c>
      <c r="H49" s="13" t="inlineStr"/>
      <c r="I49" s="13" t="inlineStr"/>
      <c r="J49" s="14" t="inlineStr"/>
      <c r="K49" s="14">
        <f>IF(C49*J49=0,"",C49*J49)</f>
        <v/>
      </c>
    </row>
    <row r="50">
      <c r="A50" s="5" t="n">
        <v>40</v>
      </c>
      <c r="B50" s="6" t="inlineStr">
        <is>
          <t>Fio rígido ENCAPADO 1,50 mm² AZUL CLARO ⬆</t>
        </is>
      </c>
      <c r="C50" s="5" t="inlineStr">
        <is>
          <t>2 m</t>
        </is>
      </c>
      <c r="D50" s="6" t="inlineStr">
        <is>
          <t>Retorno comum 0 V — o "neutro" da linha, 40 mm abaixo da cruzeta. Subiu de 1,00 para 1,50 mm²: conduz a soma dos 3 ramais (6,9 A)</t>
        </is>
      </c>
      <c r="E50" s="6" t="inlineStr"/>
      <c r="F50" s="7">
        <f>HYPERLINK("https://lista.mercadolivre.com.br/fio-rigido-encapado-1-50-mm-azul-claro","🔎 fio rigido encapado 1,50 mm ")</f>
        <v/>
      </c>
      <c r="G50" s="7">
        <f>HYPERLINK("https://www.amazon.com.br/s?k=fio+rigido+encapado+1%2C50+mm+azul+claro","🔎 Amazon")</f>
        <v/>
      </c>
      <c r="H50" s="8" t="inlineStr"/>
      <c r="I50" s="8" t="inlineStr"/>
      <c r="J50" s="9" t="inlineStr"/>
      <c r="K50" s="9">
        <f>IF(C50*J50=0,"",C50*J50)</f>
        <v/>
      </c>
    </row>
    <row r="51">
      <c r="A51" s="10" t="n">
        <v>41</v>
      </c>
      <c r="B51" s="11" t="inlineStr">
        <is>
          <t>Contas/miçangas marrom ou branca Ø 6 mm</t>
        </is>
      </c>
      <c r="C51" s="10" t="inlineStr">
        <is>
          <t>20</t>
        </is>
      </c>
      <c r="D51" s="11" t="inlineStr">
        <is>
          <t>Isoladores de pino da cruzeta</t>
        </is>
      </c>
      <c r="E51" s="11" t="inlineStr"/>
      <c r="F51" s="12">
        <f>HYPERLINK("https://lista.mercadolivre.com.br/contas-micangas-marrom-branca-6-mm","🔎 contas micangas marrom branc")</f>
        <v/>
      </c>
      <c r="G51" s="12">
        <f>HYPERLINK("https://www.amazon.com.br/s?k=contas+micangas+marrom+branca+6+mm","🔎 Amazon")</f>
        <v/>
      </c>
      <c r="H51" s="13" t="inlineStr"/>
      <c r="I51" s="13" t="inlineStr"/>
      <c r="J51" s="14" t="inlineStr"/>
      <c r="K51" s="14">
        <f>IF(C51*J51=0,"",C51*J51)</f>
        <v/>
      </c>
    </row>
    <row r="52">
      <c r="A52" s="5" t="n">
        <v>42</v>
      </c>
      <c r="B52" s="6" t="inlineStr">
        <is>
          <t>Tubo de PVC Ø 50 mm</t>
        </is>
      </c>
      <c r="C52" s="5" t="inlineStr">
        <is>
          <t>24 cm</t>
        </is>
      </c>
      <c r="D52" s="6" t="inlineStr">
        <is>
          <t>Corpos dos 3 postes — 8 cm cada: T2 (P2), T3 (P3) e a caixa de derivação (P1). Agora os três têm o mesmo diâmetro, porque o P1 deixou de ter conversor</t>
        </is>
      </c>
      <c r="E52" s="6" t="inlineStr"/>
      <c r="F52" s="7">
        <f>HYPERLINK("https://lista.mercadolivre.com.br/tubo-pvc-50-mm","🔎 tubo pvc 50 mm")</f>
        <v/>
      </c>
      <c r="G52" s="7">
        <f>HYPERLINK("https://www.amazon.com.br/s?k=tubo+pvc+50+mm","🔎 Amazon")</f>
        <v/>
      </c>
      <c r="H52" s="8" t="inlineStr"/>
      <c r="I52" s="8" t="inlineStr"/>
      <c r="J52" s="9" t="inlineStr"/>
      <c r="K52" s="9">
        <f>IF(C52*J52=0,"",C52*J52)</f>
        <v/>
      </c>
    </row>
    <row r="53">
      <c r="A53" s="10" t="n">
        <v>43</v>
      </c>
      <c r="B53" s="11" t="inlineStr">
        <is>
          <t>Tampa/cap PVC Ø 50 mm</t>
        </is>
      </c>
      <c r="C53" s="10" t="inlineStr">
        <is>
          <t>6</t>
        </is>
      </c>
      <c r="D53" s="11" t="inlineStr">
        <is>
          <t>Tampas dos 3 corpos</t>
        </is>
      </c>
      <c r="E53" s="11" t="inlineStr"/>
      <c r="F53" s="12">
        <f>HYPERLINK("https://lista.mercadolivre.com.br/tampa-cap-pvc-50-mm","🔎 tampa cap pvc 50 mm")</f>
        <v/>
      </c>
      <c r="G53" s="12">
        <f>HYPERLINK("https://www.amazon.com.br/s?k=tampa+cap+pvc+50+mm","🔎 Amazon")</f>
        <v/>
      </c>
      <c r="H53" s="13" t="inlineStr"/>
      <c r="I53" s="13" t="inlineStr"/>
      <c r="J53" s="14" t="inlineStr"/>
      <c r="K53" s="14">
        <f>IF(C53*J53=0,"",C53*J53)</f>
        <v/>
      </c>
    </row>
    <row r="54">
      <c r="A54" s="5" t="n">
        <v>44</v>
      </c>
      <c r="B54" s="6" t="inlineStr">
        <is>
          <t>Cinta de alumínio 10 mm</t>
        </is>
      </c>
      <c r="C54" s="5" t="inlineStr">
        <is>
          <t>1 m</t>
        </is>
      </c>
      <c r="D54" s="6" t="inlineStr">
        <is>
          <t>Fixação dos transformadores e da caixa de derivação nos postes</t>
        </is>
      </c>
      <c r="E54" s="6" t="inlineStr"/>
      <c r="F54" s="7">
        <f>HYPERLINK("https://lista.mercadolivre.com.br/cinta-aluminio-10-mm","🔎 cinta aluminio 10 mm")</f>
        <v/>
      </c>
      <c r="G54" s="7">
        <f>HYPERLINK("https://www.amazon.com.br/s?k=cinta+aluminio+10+mm","🔎 Amazon")</f>
        <v/>
      </c>
      <c r="H54" s="8" t="inlineStr"/>
      <c r="I54" s="8" t="inlineStr"/>
      <c r="J54" s="9" t="inlineStr"/>
      <c r="K54" s="9">
        <f>IF(C54*J54=0,"",C54*J54)</f>
        <v/>
      </c>
    </row>
    <row r="55">
      <c r="A55" s="10" t="n">
        <v>45</v>
      </c>
      <c r="B55" s="11" t="inlineStr">
        <is>
          <t>Bornes de emenda pequenos (2 ou 3 vias)</t>
        </is>
      </c>
      <c r="C55" s="10" t="inlineStr">
        <is>
          <t>2</t>
        </is>
      </c>
      <c r="D55" s="11" t="inlineStr">
        <is>
          <t>Dentro da caixa de derivação do P1 — ali os 24 V só se distribuem, não se transformam</t>
        </is>
      </c>
      <c r="E55" s="11" t="inlineStr"/>
      <c r="F55" s="12">
        <f>HYPERLINK("https://lista.mercadolivre.com.br/bornes-emenda-pequenos","🔎 bornes emenda pequenos")</f>
        <v/>
      </c>
      <c r="G55" s="12">
        <f>HYPERLINK("https://www.amazon.com.br/s?k=bornes+emenda+pequenos","🔎 Amazon")</f>
        <v/>
      </c>
      <c r="H55" s="13" t="inlineStr"/>
      <c r="I55" s="13" t="inlineStr"/>
      <c r="J55" s="14" t="inlineStr"/>
      <c r="K55" s="14">
        <f>IF(C55*J55=0,"",C55*J55)</f>
        <v/>
      </c>
    </row>
    <row r="56">
      <c r="A56" s="5" t="n">
        <v>46</v>
      </c>
      <c r="B56" s="6" t="inlineStr">
        <is>
          <t>Flange/base de fixação dos postes</t>
        </is>
      </c>
      <c r="C56" s="5" t="inlineStr">
        <is>
          <t>3</t>
        </is>
      </c>
      <c r="D56" s="6" t="inlineStr">
        <is>
          <t>Podem ser feitas com sobra de MDF + insertos M4</t>
        </is>
      </c>
      <c r="E56" s="6" t="inlineStr"/>
      <c r="F56" s="7">
        <f>HYPERLINK("https://lista.mercadolivre.com.br/flange-base-fixacao-postes","🔎 flange base fixacao postes")</f>
        <v/>
      </c>
      <c r="G56" s="7">
        <f>HYPERLINK("https://www.amazon.com.br/s?k=flange+base+fixacao+postes","🔎 Amazon")</f>
        <v/>
      </c>
      <c r="H56" s="8" t="inlineStr"/>
      <c r="I56" s="8" t="inlineStr"/>
      <c r="J56" s="9" t="inlineStr"/>
      <c r="K56" s="9">
        <f>IF(C56*J56=0,"",C56*J56)</f>
        <v/>
      </c>
    </row>
    <row r="57">
      <c r="A57" s="10" t="n">
        <v>47</v>
      </c>
      <c r="B57" s="11" t="inlineStr">
        <is>
          <t>Etiquetas adesivas impressas</t>
        </is>
      </c>
      <c r="C57" s="10" t="inlineStr">
        <is>
          <t>3</t>
        </is>
      </c>
      <c r="D57" s="11" t="inlineStr">
        <is>
          <t>Identificação dos corpos: "P1 — DERIVAÇÃO 24 V", "T2 — 24/5 V", "T3 — 24/12 V"</t>
        </is>
      </c>
      <c r="E57" s="11" t="inlineStr"/>
      <c r="F57" s="12">
        <f>HYPERLINK("https://lista.mercadolivre.com.br/etiquetas-adesivas-impressas","🔎 etiquetas adesivas impressas")</f>
        <v/>
      </c>
      <c r="G57" s="12">
        <f>HYPERLINK("https://www.amazon.com.br/s?k=etiquetas+adesivas+impressas","🔎 Amazon")</f>
        <v/>
      </c>
      <c r="H57" s="13" t="inlineStr"/>
      <c r="I57" s="13" t="inlineStr"/>
      <c r="J57" s="14" t="inlineStr"/>
      <c r="K57" s="14">
        <f>IF(C57*J57=0,"",C57*J57)</f>
        <v/>
      </c>
    </row>
    <row r="58" ht="22" customHeight="1">
      <c r="A58" s="4" t="inlineStr">
        <is>
          <t>M.4 — Rua e entrada da empresa (zona externa)</t>
        </is>
      </c>
    </row>
    <row r="59">
      <c r="A59" s="10" t="n">
        <v>48</v>
      </c>
      <c r="B59" s="11" t="inlineStr">
        <is>
          <t>Tinta spray cinza-asfalto escuro fosco</t>
        </is>
      </c>
      <c r="C59" s="10" t="inlineStr">
        <is>
          <t>1</t>
        </is>
      </c>
      <c r="D59" s="11" t="inlineStr">
        <is>
          <t>Pista da rua</t>
        </is>
      </c>
      <c r="E59" s="11" t="inlineStr"/>
      <c r="F59" s="12">
        <f>HYPERLINK("https://lista.mercadolivre.com.br/tinta-spray-cinza-asfalto-escuro-fosco","🔎 tinta spray cinza asfalto es")</f>
        <v/>
      </c>
      <c r="G59" s="12">
        <f>HYPERLINK("https://www.amazon.com.br/s?k=tinta+spray+cinza+asfalto+escuro+fosco","🔎 Amazon")</f>
        <v/>
      </c>
      <c r="H59" s="13" t="inlineStr"/>
      <c r="I59" s="13" t="inlineStr"/>
      <c r="J59" s="14" t="inlineStr"/>
      <c r="K59" s="14">
        <f>IF(C59*J59=0,"",C59*J59)</f>
        <v/>
      </c>
    </row>
    <row r="60">
      <c r="A60" s="5" t="n">
        <v>49</v>
      </c>
      <c r="B60" s="6" t="inlineStr">
        <is>
          <t>Tubo de alumínio Ø 5 mm</t>
        </is>
      </c>
      <c r="C60" s="5" t="inlineStr">
        <is>
          <t>60 cm</t>
        </is>
      </c>
      <c r="D60" s="6" t="inlineStr">
        <is>
          <t>3 postes de iluminação pública de 180 mm — ⚠️ diferentes dos postes de distribuição</t>
        </is>
      </c>
      <c r="E60" s="6" t="inlineStr"/>
      <c r="F60" s="7">
        <f>HYPERLINK("https://lista.mercadolivre.com.br/tubo-aluminio-5-mm","🔎 tubo aluminio 5 mm")</f>
        <v/>
      </c>
      <c r="G60" s="7">
        <f>HYPERLINK("https://www.amazon.com.br/s?k=tubo+aluminio+5+mm","🔎 Amazon")</f>
        <v/>
      </c>
      <c r="H60" s="8" t="inlineStr"/>
      <c r="I60" s="8" t="inlineStr"/>
      <c r="J60" s="9" t="inlineStr"/>
      <c r="K60" s="9">
        <f>IF(C60*J60=0,"",C60*J60)</f>
        <v/>
      </c>
    </row>
    <row r="61">
      <c r="A61" s="10" t="n">
        <v>50</v>
      </c>
      <c r="B61" s="11" t="inlineStr">
        <is>
          <t>Arame 1,5 mm</t>
        </is>
      </c>
      <c r="C61" s="10" t="inlineStr">
        <is>
          <t>1 m</t>
        </is>
      </c>
      <c r="D61" s="11" t="inlineStr">
        <is>
          <t>Braço curvo das luminárias e estrutura do portão</t>
        </is>
      </c>
      <c r="E61" s="11" t="inlineStr"/>
      <c r="F61" s="12">
        <f>HYPERLINK("https://lista.mercadolivre.com.br/arame-1-5-mm","🔎 arame 1,5 mm")</f>
        <v/>
      </c>
      <c r="G61" s="12">
        <f>HYPERLINK("https://www.amazon.com.br/s?k=arame+1%2C5+mm","🔎 Amazon")</f>
        <v/>
      </c>
      <c r="H61" s="13" t="inlineStr"/>
      <c r="I61" s="13" t="inlineStr"/>
      <c r="J61" s="14" t="inlineStr"/>
      <c r="K61" s="14">
        <f>IF(C61*J61=0,"",C61*J61)</f>
        <v/>
      </c>
    </row>
    <row r="62">
      <c r="A62" s="5" t="n">
        <v>51</v>
      </c>
      <c r="B62" s="6" t="inlineStr">
        <is>
          <t>LED 3 mm branco quente</t>
        </is>
      </c>
      <c r="C62" s="5" t="inlineStr">
        <is>
          <t>4</t>
        </is>
      </c>
      <c r="D62" s="6" t="inlineStr">
        <is>
          <t>3 luminárias da rua + 1 na guarita. Alimentados em 5 V (BD-5V), com 220 Ω em série, sempre acesos. Vf ≈ 3,1 V</t>
        </is>
      </c>
      <c r="E62" s="6" t="inlineStr"/>
      <c r="F62" s="7">
        <f>HYPERLINK("https://lista.mercadolivre.com.br/led-3-mm-branco-quente","🔎 led 3 mm branco quente")</f>
        <v/>
      </c>
      <c r="G62" s="7">
        <f>HYPERLINK("https://www.amazon.com.br/s?k=led+3+mm+branco+quente","🔎 Amazon")</f>
        <v/>
      </c>
      <c r="H62" s="15">
        <f>HYPERLINK("https://pt.aliexpress.com/w/wholesale-3mm-warm-white-led.html","🌏 3mm warm white LED")</f>
        <v/>
      </c>
      <c r="I62" s="8" t="inlineStr"/>
      <c r="J62" s="9" t="inlineStr"/>
      <c r="K62" s="9">
        <f>IF(C62*J62=0,"",C62*J62)</f>
        <v/>
      </c>
    </row>
    <row r="63">
      <c r="A63" s="10" t="n">
        <v>52</v>
      </c>
      <c r="B63" s="11" t="inlineStr">
        <is>
          <t>Resistor 220 Ω 1/4 W</t>
        </is>
      </c>
      <c r="C63" s="10" t="inlineStr">
        <is>
          <t>—</t>
        </is>
      </c>
      <c r="D63" s="11" t="inlineStr">
        <is>
          <t>Limitador dos LEDs da rua — já contabilizado na lista L.4, não compre de novo. ⚠️ Valor dimensionado para 5 V: (5 − 3,1)/220 = 8,6 mA. Monte cada um dentro da base do poste, com termorretrátil</t>
        </is>
      </c>
      <c r="E63" s="11" t="inlineStr"/>
      <c r="F63" s="12">
        <f>HYPERLINK("https://lista.mercadolivre.com.br/resistor-220-1-4-w","🔎 resistor 220 1 4 w")</f>
        <v/>
      </c>
      <c r="G63" s="12">
        <f>HYPERLINK("https://www.amazon.com.br/s?k=resistor+220+1+4+w","🔎 Amazon")</f>
        <v/>
      </c>
      <c r="H63" s="16">
        <f>HYPERLINK("https://pt.aliexpress.com/w/wholesale-1-4w-resistor-kit-assorted.html","🌏 1/4W resistor kit assorted")</f>
        <v/>
      </c>
      <c r="I63" s="13" t="inlineStr"/>
      <c r="J63" s="14" t="inlineStr"/>
      <c r="K63" s="14">
        <f>IF(C63*J63=0,"",C63*J63)</f>
        <v/>
      </c>
    </row>
    <row r="64">
      <c r="A64" s="5" t="n">
        <v>53</v>
      </c>
      <c r="B64" s="6" t="inlineStr">
        <is>
          <t>Carro de passeio miniatura 1:50</t>
        </is>
      </c>
      <c r="C64" s="5" t="inlineStr">
        <is>
          <t>2</t>
        </is>
      </c>
      <c r="D64" s="6" t="inlineStr">
        <is>
          <t>~88 mm. Se só achar 1:64 (68 mm), pode usar — mas não misture escalas</t>
        </is>
      </c>
      <c r="E64" s="6" t="inlineStr"/>
      <c r="F64" s="7">
        <f>HYPERLINK("https://lista.mercadolivre.com.br/carro-passeio-miniatura-1-50","🔎 carro passeio miniatura 1 50")</f>
        <v/>
      </c>
      <c r="G64" s="7">
        <f>HYPERLINK("https://www.amazon.com.br/s?k=carro+passeio+miniatura+1+50","🔎 Amazon")</f>
        <v/>
      </c>
      <c r="H64" s="8" t="inlineStr"/>
      <c r="I64" s="8" t="inlineStr"/>
      <c r="J64" s="9" t="inlineStr"/>
      <c r="K64" s="9">
        <f>IF(C64*J64=0,"",C64*J64)</f>
        <v/>
      </c>
    </row>
    <row r="65">
      <c r="A65" s="10" t="n">
        <v>54</v>
      </c>
      <c r="B65" s="11" t="inlineStr">
        <is>
          <t>Caminhão / van 1:50</t>
        </is>
      </c>
      <c r="C65" s="10" t="inlineStr">
        <is>
          <t>1</t>
        </is>
      </c>
      <c r="D65" s="11" t="inlineStr">
        <is>
          <t>~150 mm, entrando pelo portão</t>
        </is>
      </c>
      <c r="E65" s="11" t="inlineStr"/>
      <c r="F65" s="12">
        <f>HYPERLINK("https://lista.mercadolivre.com.br/caminhao-van-1-50","🔎 caminhao van 1 50")</f>
        <v/>
      </c>
      <c r="G65" s="12">
        <f>HYPERLINK("https://www.amazon.com.br/s?k=caminhao+van+1+50","🔎 Amazon")</f>
        <v/>
      </c>
      <c r="H65" s="13" t="inlineStr"/>
      <c r="I65" s="13" t="inlineStr"/>
      <c r="J65" s="14" t="inlineStr"/>
      <c r="K65" s="14">
        <f>IF(C65*J65=0,"",C65*J65)</f>
        <v/>
      </c>
    </row>
    <row r="66">
      <c r="A66" s="5" t="n">
        <v>55</v>
      </c>
      <c r="B66" s="6" t="inlineStr">
        <is>
          <t>Tira de MDF 3 mm</t>
        </is>
      </c>
      <c r="C66" s="5" t="inlineStr">
        <is>
          <t>1,5 m</t>
        </is>
      </c>
      <c r="D66" s="6" t="inlineStr">
        <is>
          <t>Meio-fio (guia), 4 mm de altura, pintado de branco</t>
        </is>
      </c>
      <c r="E66" s="6" t="inlineStr"/>
      <c r="F66" s="7">
        <f>HYPERLINK("https://lista.mercadolivre.com.br/tira-mdf-3-mm","🔎 tira mdf 3 mm")</f>
        <v/>
      </c>
      <c r="G66" s="7">
        <f>HYPERLINK("https://www.amazon.com.br/s?k=tira+mdf+3+mm","🔎 Amazon")</f>
        <v/>
      </c>
      <c r="H66" s="8" t="inlineStr"/>
      <c r="I66" s="8" t="inlineStr"/>
      <c r="J66" s="9" t="inlineStr"/>
      <c r="K66" s="9">
        <f>IF(C66*J66=0,"",C66*J66)</f>
        <v/>
      </c>
    </row>
    <row r="67">
      <c r="A67" s="10" t="n">
        <v>56</v>
      </c>
      <c r="B67" s="11" t="inlineStr">
        <is>
          <t>Fita branca 2 mm ou caneta posca branca</t>
        </is>
      </c>
      <c r="C67" s="10" t="inlineStr">
        <is>
          <t>1</t>
        </is>
      </c>
      <c r="D67" s="11" t="inlineStr">
        <is>
          <t>Faixa central tracejada, faixa de bordo e faixa de pedestres</t>
        </is>
      </c>
      <c r="E67" s="11" t="inlineStr"/>
      <c r="F67" s="12">
        <f>HYPERLINK("https://lista.mercadolivre.com.br/fita-branca-2-mm-caneta-posca-branca","🔎 fita branca 2 mm caneta posc")</f>
        <v/>
      </c>
      <c r="G67" s="12">
        <f>HYPERLINK("https://www.amazon.com.br/s?k=fita+branca+2+mm+caneta+posca+branca","🔎 Amazon")</f>
        <v/>
      </c>
      <c r="H67" s="13" t="inlineStr"/>
      <c r="I67" s="13" t="inlineStr"/>
      <c r="J67" s="14" t="inlineStr"/>
      <c r="K67" s="14">
        <f>IF(C67*J67=0,"",C67*J67)</f>
        <v/>
      </c>
    </row>
    <row r="68">
      <c r="A68" s="5" t="n">
        <v>57</v>
      </c>
      <c r="B68" s="6" t="inlineStr">
        <is>
          <t>MDF 4 mm</t>
        </is>
      </c>
      <c r="C68" s="5" t="inlineStr">
        <is>
          <t>—</t>
        </is>
      </c>
      <c r="D68" s="6" t="inlineStr">
        <is>
          <t>Muro da empresa: 50 mm de altura × 290 mm, em X = 640</t>
        </is>
      </c>
      <c r="E68" s="6" t="inlineStr"/>
      <c r="F68" s="7">
        <f>HYPERLINK("https://lista.mercadolivre.com.br/mdf-4-mm","🔎 mdf 4 mm")</f>
        <v/>
      </c>
      <c r="G68" s="7">
        <f>HYPERLINK("https://www.amazon.com.br/s?k=mdf+4+mm","🔎 Amazon")</f>
        <v/>
      </c>
      <c r="H68" s="8" t="inlineStr"/>
      <c r="I68" s="8" t="inlineStr"/>
      <c r="J68" s="9" t="inlineStr"/>
      <c r="K68" s="9">
        <f>IF(C68*J68=0,"",C68*J68)</f>
        <v/>
      </c>
    </row>
    <row r="69">
      <c r="A69" s="10" t="n">
        <v>58</v>
      </c>
      <c r="B69" s="11" t="inlineStr">
        <is>
          <t>MDF 4 mm</t>
        </is>
      </c>
      <c r="C69" s="10" t="inlineStr">
        <is>
          <t>—</t>
        </is>
      </c>
      <c r="D69" s="11" t="inlineStr">
        <is>
          <t>Guarita 45 × 45 × 55 mm, com janela recortada</t>
        </is>
      </c>
      <c r="E69" s="11" t="inlineStr"/>
      <c r="F69" s="12">
        <f>HYPERLINK("https://lista.mercadolivre.com.br/mdf-4-mm","🔎 mdf 4 mm")</f>
        <v/>
      </c>
      <c r="G69" s="12">
        <f>HYPERLINK("https://www.amazon.com.br/s?k=mdf+4+mm","🔎 Amazon")</f>
        <v/>
      </c>
      <c r="H69" s="13" t="inlineStr"/>
      <c r="I69" s="13" t="inlineStr"/>
      <c r="J69" s="14" t="inlineStr"/>
      <c r="K69" s="14">
        <f>IF(C69*J69=0,"",C69*J69)</f>
        <v/>
      </c>
    </row>
    <row r="70">
      <c r="A70" s="5" t="n">
        <v>59</v>
      </c>
      <c r="B70" s="6" t="inlineStr">
        <is>
          <t>Tinta azul industrial</t>
        </is>
      </c>
      <c r="C70" s="5" t="inlineStr">
        <is>
          <t>1</t>
        </is>
      </c>
      <c r="D70" s="6" t="inlineStr">
        <is>
          <t>Portão corrediço</t>
        </is>
      </c>
      <c r="E70" s="6" t="inlineStr"/>
      <c r="F70" s="7">
        <f>HYPERLINK("https://lista.mercadolivre.com.br/tinta-azul-industrial","🔎 tinta azul industrial")</f>
        <v/>
      </c>
      <c r="G70" s="7">
        <f>HYPERLINK("https://www.amazon.com.br/s?k=tinta+azul+industrial","🔎 Amazon")</f>
        <v/>
      </c>
      <c r="H70" s="8" t="inlineStr"/>
      <c r="I70" s="8" t="inlineStr"/>
      <c r="J70" s="9" t="inlineStr"/>
      <c r="K70" s="9">
        <f>IF(C70*J70=0,"",C70*J70)</f>
        <v/>
      </c>
    </row>
    <row r="71">
      <c r="A71" s="10" t="n">
        <v>60</v>
      </c>
      <c r="B71" s="11" t="inlineStr">
        <is>
          <t>Árvores de maquete</t>
        </is>
      </c>
      <c r="C71" s="10" t="inlineStr">
        <is>
          <t>3</t>
        </is>
      </c>
      <c r="D71" s="11" t="inlineStr">
        <is>
          <t>Escala 1:50, na calçada da frente</t>
        </is>
      </c>
      <c r="E71" s="11" t="inlineStr"/>
      <c r="F71" s="12">
        <f>HYPERLINK("https://lista.mercadolivre.com.br/arvores-maquete","🔎 arvores maquete")</f>
        <v/>
      </c>
      <c r="G71" s="12">
        <f>HYPERLINK("https://www.amazon.com.br/s?k=arvores+maquete","🔎 Amazon")</f>
        <v/>
      </c>
      <c r="H71" s="13" t="inlineStr"/>
      <c r="I71" s="13" t="inlineStr"/>
      <c r="J71" s="14" t="inlineStr"/>
      <c r="K71" s="14">
        <f>IF(C71*J71=0,"",C71*J71)</f>
        <v/>
      </c>
    </row>
    <row r="72">
      <c r="A72" s="5" t="n">
        <v>61</v>
      </c>
      <c r="B72" s="6" t="inlineStr">
        <is>
          <t>Placas de trânsito miniatura</t>
        </is>
      </c>
      <c r="C72" s="5" t="inlineStr">
        <is>
          <t>2</t>
        </is>
      </c>
      <c r="D72" s="6" t="inlineStr">
        <is>
          <t>"PARE" e "VELOCIDADE MÁXIMA 10 km/h"</t>
        </is>
      </c>
      <c r="E72" s="6" t="inlineStr"/>
      <c r="F72" s="7">
        <f>HYPERLINK("https://lista.mercadolivre.com.br/placas-transito-miniatura","🔎 placas transito miniatura")</f>
        <v/>
      </c>
      <c r="G72" s="7">
        <f>HYPERLINK("https://www.amazon.com.br/s?k=placas+transito+miniatura","🔎 Amazon")</f>
        <v/>
      </c>
      <c r="H72" s="8" t="inlineStr"/>
      <c r="I72" s="8" t="inlineStr"/>
      <c r="J72" s="9" t="inlineStr"/>
      <c r="K72" s="9">
        <f>IF(C72*J72=0,"",C72*J72)</f>
        <v/>
      </c>
    </row>
    <row r="73">
      <c r="A73" s="10" t="n">
        <v>62</v>
      </c>
      <c r="B73" s="11" t="inlineStr">
        <is>
          <t>Lixeira urbana + abrigo de ônibus</t>
        </is>
      </c>
      <c r="C73" s="10" t="inlineStr">
        <is>
          <t>1 cada</t>
        </is>
      </c>
      <c r="D73" s="11" t="inlineStr">
        <is>
          <t>Opcional — enriquece a cena</t>
        </is>
      </c>
      <c r="E73" s="11" t="inlineStr"/>
      <c r="F73" s="12">
        <f>HYPERLINK("https://lista.mercadolivre.com.br/lixeira-urbana-abrigo-onibus","🔎 lixeira urbana abrigo onibus")</f>
        <v/>
      </c>
      <c r="G73" s="12">
        <f>HYPERLINK("https://www.amazon.com.br/s?k=lixeira+urbana+abrigo+onibus","🔎 Amazon")</f>
        <v/>
      </c>
      <c r="H73" s="13" t="inlineStr"/>
      <c r="I73" s="13" t="inlineStr"/>
      <c r="J73" s="14" t="inlineStr"/>
      <c r="K73" s="14">
        <f>IF(C73*J73=0,"",C73*J73)</f>
        <v/>
      </c>
    </row>
    <row r="74" ht="22" customHeight="1">
      <c r="A74" s="4" t="inlineStr">
        <is>
          <t>M.5 — Chão de fábrica (cenografia)</t>
        </is>
      </c>
    </row>
    <row r="75">
      <c r="A75" s="10" t="n">
        <v>63</v>
      </c>
      <c r="B75" s="11" t="inlineStr">
        <is>
          <t>Tinta spray cinza claro fosco</t>
        </is>
      </c>
      <c r="C75" s="10" t="inlineStr">
        <is>
          <t>2</t>
        </is>
      </c>
      <c r="D75" s="11" t="inlineStr">
        <is>
          <t>Piso industrial (epóxi)</t>
        </is>
      </c>
      <c r="E75" s="11" t="inlineStr"/>
      <c r="F75" s="12">
        <f>HYPERLINK("https://lista.mercadolivre.com.br/tinta-spray-cinza-claro-fosco","🔎 tinta spray cinza claro fosc")</f>
        <v/>
      </c>
      <c r="G75" s="12">
        <f>HYPERLINK("https://www.amazon.com.br/s?k=tinta+spray+cinza+claro+fosco","🔎 Amazon")</f>
        <v/>
      </c>
      <c r="H75" s="13" t="inlineStr"/>
      <c r="I75" s="13" t="inlineStr"/>
      <c r="J75" s="14" t="inlineStr"/>
      <c r="K75" s="14">
        <f>IF(C75*J75=0,"",C75*J75)</f>
        <v/>
      </c>
    </row>
    <row r="76">
      <c r="A76" s="5" t="n">
        <v>64</v>
      </c>
      <c r="B76" s="6" t="inlineStr">
        <is>
          <t>Tinta spray preto fosco</t>
        </is>
      </c>
      <c r="C76" s="5" t="inlineStr">
        <is>
          <t>1</t>
        </is>
      </c>
      <c r="D76" s="6" t="inlineStr">
        <is>
          <t>Estruturas e acabamento</t>
        </is>
      </c>
      <c r="E76" s="6" t="inlineStr"/>
      <c r="F76" s="7">
        <f>HYPERLINK("https://lista.mercadolivre.com.br/tinta-spray-preto-fosco","🔎 tinta spray preto fosco")</f>
        <v/>
      </c>
      <c r="G76" s="7">
        <f>HYPERLINK("https://www.amazon.com.br/s?k=tinta+spray+preto+fosco","🔎 Amazon")</f>
        <v/>
      </c>
      <c r="H76" s="8" t="inlineStr"/>
      <c r="I76" s="8" t="inlineStr"/>
      <c r="J76" s="9" t="inlineStr"/>
      <c r="K76" s="9">
        <f>IF(C76*J76=0,"",C76*J76)</f>
        <v/>
      </c>
    </row>
    <row r="77">
      <c r="A77" s="10" t="n">
        <v>65</v>
      </c>
      <c r="B77" s="11" t="inlineStr">
        <is>
          <t>Verniz fosco spray</t>
        </is>
      </c>
      <c r="C77" s="10" t="inlineStr">
        <is>
          <t>1</t>
        </is>
      </c>
      <c r="D77" s="11" t="inlineStr">
        <is>
          <t>Proteção final do piso pintado</t>
        </is>
      </c>
      <c r="E77" s="11" t="inlineStr"/>
      <c r="F77" s="12">
        <f>HYPERLINK("https://lista.mercadolivre.com.br/verniz-fosco-spray","🔎 verniz fosco spray")</f>
        <v/>
      </c>
      <c r="G77" s="12">
        <f>HYPERLINK("https://www.amazon.com.br/s?k=verniz+fosco+spray","🔎 Amazon")</f>
        <v/>
      </c>
      <c r="H77" s="13" t="inlineStr"/>
      <c r="I77" s="13" t="inlineStr"/>
      <c r="J77" s="14" t="inlineStr"/>
      <c r="K77" s="14">
        <f>IF(C77*J77=0,"",C77*J77)</f>
        <v/>
      </c>
    </row>
    <row r="78">
      <c r="A78" s="5" t="n">
        <v>66</v>
      </c>
      <c r="B78" s="6" t="inlineStr">
        <is>
          <t>Fita adesiva amarela 10 mm</t>
        </is>
      </c>
      <c r="C78" s="5" t="inlineStr">
        <is>
          <t>1 rolo</t>
        </is>
      </c>
      <c r="D78" s="6" t="inlineStr">
        <is>
          <t>Demarcação de corredores e áreas</t>
        </is>
      </c>
      <c r="E78" s="6" t="inlineStr"/>
      <c r="F78" s="7">
        <f>HYPERLINK("https://lista.mercadolivre.com.br/fita-adesiva-amarela-10-mm","🔎 fita adesiva amarela 10 mm")</f>
        <v/>
      </c>
      <c r="G78" s="7">
        <f>HYPERLINK("https://www.amazon.com.br/s?k=fita+adesiva+amarela+10+mm","🔎 Amazon")</f>
        <v/>
      </c>
      <c r="H78" s="8" t="inlineStr"/>
      <c r="I78" s="8" t="inlineStr"/>
      <c r="J78" s="9" t="inlineStr"/>
      <c r="K78" s="9">
        <f>IF(C78*J78=0,"",C78*J78)</f>
        <v/>
      </c>
    </row>
    <row r="79">
      <c r="A79" s="10" t="n">
        <v>67</v>
      </c>
      <c r="B79" s="11" t="inlineStr">
        <is>
          <t>Fita zebrada amarelo/preto 20 mm</t>
        </is>
      </c>
      <c r="C79" s="10" t="inlineStr">
        <is>
          <t>1 rolo</t>
        </is>
      </c>
      <c r="D79" s="11" t="inlineStr">
        <is>
          <t>Faixa de segurança em frente ao painel (exigência NR-10 — zona de trabalho)</t>
        </is>
      </c>
      <c r="E79" s="11" t="inlineStr"/>
      <c r="F79" s="12">
        <f>HYPERLINK("https://lista.mercadolivre.com.br/fita-zebrada-amarelo-preto-20-mm","🔎 fita zebrada amarelo preto 2")</f>
        <v/>
      </c>
      <c r="G79" s="12">
        <f>HYPERLINK("https://www.amazon.com.br/s?k=fita+zebrada+amarelo+preto+20+mm","🔎 Amazon")</f>
        <v/>
      </c>
      <c r="H79" s="13" t="inlineStr"/>
      <c r="I79" s="13" t="inlineStr"/>
      <c r="J79" s="14" t="inlineStr"/>
      <c r="K79" s="14">
        <f>IF(C79*J79=0,"",C79*J79)</f>
        <v/>
      </c>
    </row>
    <row r="80">
      <c r="A80" s="5" t="n">
        <v>68</v>
      </c>
      <c r="B80" s="6" t="inlineStr">
        <is>
          <t>Fita adesiva verde 10 mm</t>
        </is>
      </c>
      <c r="C80" s="5" t="inlineStr">
        <is>
          <t>1 rolo</t>
        </is>
      </c>
      <c r="D80" s="6" t="inlineStr">
        <is>
          <t>Rota de fuga</t>
        </is>
      </c>
      <c r="E80" s="6" t="inlineStr"/>
      <c r="F80" s="7">
        <f>HYPERLINK("https://lista.mercadolivre.com.br/fita-adesiva-verde-10-mm","🔎 fita adesiva verde 10 mm")</f>
        <v/>
      </c>
      <c r="G80" s="7">
        <f>HYPERLINK("https://www.amazon.com.br/s?k=fita+adesiva+verde+10+mm","🔎 Amazon")</f>
        <v/>
      </c>
      <c r="H80" s="8" t="inlineStr"/>
      <c r="I80" s="8" t="inlineStr"/>
      <c r="J80" s="9" t="inlineStr"/>
      <c r="K80" s="9">
        <f>IF(C80*J80=0,"",C80*J80)</f>
        <v/>
      </c>
    </row>
    <row r="81">
      <c r="A81" s="10" t="n">
        <v>69</v>
      </c>
      <c r="B81" s="11" t="inlineStr">
        <is>
          <t>Figuras de maquete escala 1:50</t>
        </is>
      </c>
      <c r="C81" s="10" t="inlineStr">
        <is>
          <t>10</t>
        </is>
      </c>
      <c r="D81" s="11" t="inlineStr">
        <is>
          <t>(4 na fábrica, 3 na rua, 3 reservas) Pessoas com EPI (loja de maquetaria/arquitetura)</t>
        </is>
      </c>
      <c r="E81" s="11" t="inlineStr"/>
      <c r="F81" s="12">
        <f>HYPERLINK("https://lista.mercadolivre.com.br/figuras-maquete-escala-1-50","🔎 figuras maquete escala 1 50")</f>
        <v/>
      </c>
      <c r="G81" s="12">
        <f>HYPERLINK("https://www.amazon.com.br/s?k=figuras+maquete+escala+1+50","🔎 Amazon")</f>
        <v/>
      </c>
      <c r="H81" s="13" t="inlineStr"/>
      <c r="I81" s="13" t="inlineStr"/>
      <c r="J81" s="14" t="inlineStr"/>
      <c r="K81" s="14">
        <f>IF(C81*J81=0,"",C81*J81)</f>
        <v/>
      </c>
    </row>
    <row r="82">
      <c r="A82" s="5" t="n">
        <v>70</v>
      </c>
      <c r="B82" s="6" t="inlineStr">
        <is>
          <t>Miniaturas: empilhadeira, pallets, tambores</t>
        </is>
      </c>
      <c r="C82" s="5" t="inlineStr">
        <is>
          <t>—</t>
        </is>
      </c>
      <c r="D82" s="6" t="inlineStr">
        <is>
          <t>Ambientação do chão de fábrica</t>
        </is>
      </c>
      <c r="E82" s="6" t="inlineStr"/>
      <c r="F82" s="7">
        <f>HYPERLINK("https://lista.mercadolivre.com.br/miniaturas-empilhadeira-pallets-tambores","🔎 miniaturas empilhadeira, pal")</f>
        <v/>
      </c>
      <c r="G82" s="7">
        <f>HYPERLINK("https://www.amazon.com.br/s?k=miniaturas+empilhadeira%2C+pallets%2C+tambores","🔎 Amazon")</f>
        <v/>
      </c>
      <c r="H82" s="8" t="inlineStr"/>
      <c r="I82" s="8" t="inlineStr"/>
      <c r="J82" s="9" t="inlineStr"/>
      <c r="K82" s="9">
        <f>IF(C82*J82=0,"",C82*J82)</f>
        <v/>
      </c>
    </row>
    <row r="83">
      <c r="A83" s="10" t="n">
        <v>71</v>
      </c>
      <c r="B83" s="11" t="inlineStr">
        <is>
          <t>Extintor miniatura + placa</t>
        </is>
      </c>
      <c r="C83" s="10" t="inlineStr">
        <is>
          <t>2</t>
        </is>
      </c>
      <c r="D83" s="11" t="inlineStr">
        <is>
          <t>Sinalização de segurança</t>
        </is>
      </c>
      <c r="E83" s="11" t="inlineStr"/>
      <c r="F83" s="12">
        <f>HYPERLINK("https://lista.mercadolivre.com.br/extintor-miniatura-placa","🔎 extintor miniatura placa")</f>
        <v/>
      </c>
      <c r="G83" s="12">
        <f>HYPERLINK("https://www.amazon.com.br/s?k=extintor+miniatura+placa","🔎 Amazon")</f>
        <v/>
      </c>
      <c r="H83" s="13" t="inlineStr"/>
      <c r="I83" s="13" t="inlineStr"/>
      <c r="J83" s="14" t="inlineStr"/>
      <c r="K83" s="14">
        <f>IF(C83*J83=0,"",C83*J83)</f>
        <v/>
      </c>
    </row>
    <row r="84">
      <c r="A84" s="5" t="n">
        <v>72</v>
      </c>
      <c r="B84" s="6" t="inlineStr">
        <is>
          <t>Placas de sinalização impressas</t>
        </is>
      </c>
      <c r="C84" s="5" t="inlineStr">
        <is>
          <t>1 folha</t>
        </is>
      </c>
      <c r="D84" s="6" t="inlineStr">
        <is>
          <t>"RISCO ELÉTRICO", "USO OBRIGATÓRIO DE EPI", "SAÍDA" — papel adesivo</t>
        </is>
      </c>
      <c r="E84" s="6" t="inlineStr"/>
      <c r="F84" s="7">
        <f>HYPERLINK("https://lista.mercadolivre.com.br/placas-sinalizacao-impressas","🔎 placas sinalizacao impressas")</f>
        <v/>
      </c>
      <c r="G84" s="7">
        <f>HYPERLINK("https://www.amazon.com.br/s?k=placas+sinalizacao+impressas","🔎 Amazon")</f>
        <v/>
      </c>
      <c r="H84" s="8" t="inlineStr"/>
      <c r="I84" s="8" t="inlineStr"/>
      <c r="J84" s="9" t="inlineStr"/>
      <c r="K84" s="9">
        <f>IF(C84*J84=0,"",C84*J84)</f>
        <v/>
      </c>
    </row>
    <row r="85">
      <c r="A85" s="10" t="n">
        <v>73</v>
      </c>
      <c r="B85" s="11" t="inlineStr">
        <is>
          <t>Eletrocalha / perfilado aéreo</t>
        </is>
      </c>
      <c r="C85" s="10" t="inlineStr">
        <is>
          <t>60 cm</t>
        </is>
      </c>
      <c r="D85" s="11" t="inlineStr">
        <is>
          <t>Canaleta de acrílico ou perfil U de alumínio — leva os cabos do painel à câmara por cima, como na indústria</t>
        </is>
      </c>
      <c r="E85" s="11" t="inlineStr"/>
      <c r="F85" s="12">
        <f>HYPERLINK("https://lista.mercadolivre.com.br/eletrocalha-perfilado-aereo","🔎 eletrocalha perfilado aereo")</f>
        <v/>
      </c>
      <c r="G85" s="12">
        <f>HYPERLINK("https://www.amazon.com.br/s?k=eletrocalha+perfilado+aereo","🔎 Amazon")</f>
        <v/>
      </c>
      <c r="H85" s="13" t="inlineStr"/>
      <c r="I85" s="13" t="inlineStr"/>
      <c r="J85" s="14" t="inlineStr"/>
      <c r="K85" s="14">
        <f>IF(C85*J85=0,"",C85*J85)</f>
        <v/>
      </c>
    </row>
    <row r="86">
      <c r="A86" s="5" t="n">
        <v>74</v>
      </c>
      <c r="B86" s="6" t="inlineStr">
        <is>
          <t>Suportes/mãos-francesas da eletrocalha</t>
        </is>
      </c>
      <c r="C86" s="5" t="inlineStr">
        <is>
          <t>4</t>
        </is>
      </c>
      <c r="D86" s="6" t="inlineStr">
        <is>
          <t>Cantoneira de alumínio</t>
        </is>
      </c>
      <c r="E86" s="6" t="inlineStr"/>
      <c r="F86" s="7">
        <f>HYPERLINK("https://lista.mercadolivre.com.br/suportes-maos-francesas-eletrocalha","🔎 suportes maos francesas elet")</f>
        <v/>
      </c>
      <c r="G86" s="7">
        <f>HYPERLINK("https://www.amazon.com.br/s?k=suportes+maos+francesas+eletrocalha","🔎 Amazon")</f>
        <v/>
      </c>
      <c r="H86" s="8" t="inlineStr"/>
      <c r="I86" s="8" t="inlineStr"/>
      <c r="J86" s="9" t="inlineStr"/>
      <c r="K86" s="9">
        <f>IF(C86*J86=0,"",C86*J86)</f>
        <v/>
      </c>
    </row>
    <row r="87">
      <c r="A87" s="10" t="n">
        <v>75</v>
      </c>
      <c r="B87" s="11" t="inlineStr">
        <is>
          <t>EVA ou MDF 6 mm</t>
        </is>
      </c>
      <c r="C87" s="10" t="inlineStr">
        <is>
          <t>—</t>
        </is>
      </c>
      <c r="D87" s="11" t="inlineStr">
        <is>
          <t>Bases de máquinas fictícias e plataformas</t>
        </is>
      </c>
      <c r="E87" s="11" t="inlineStr"/>
      <c r="F87" s="12">
        <f>HYPERLINK("https://lista.mercadolivre.com.br/eva-mdf-6-mm","🔎 eva mdf 6 mm")</f>
        <v/>
      </c>
      <c r="G87" s="12">
        <f>HYPERLINK("https://www.amazon.com.br/s?k=eva+mdf+6+mm","🔎 Amazon")</f>
        <v/>
      </c>
      <c r="H87" s="13" t="inlineStr"/>
      <c r="I87" s="13" t="inlineStr"/>
      <c r="J87" s="14" t="inlineStr"/>
      <c r="K87" s="14">
        <f>IF(C87*J87=0,"",C87*J87)</f>
        <v/>
      </c>
    </row>
    <row r="88" ht="22" customHeight="1">
      <c r="A88" s="4" t="inlineStr">
        <is>
          <t>C.2 — Isolamento térmico</t>
        </is>
      </c>
    </row>
    <row r="89">
      <c r="A89" s="10" t="n">
        <v>76</v>
      </c>
      <c r="B89" s="11" t="inlineStr">
        <is>
          <t>XPS 30 mm (poliestireno extrudado)</t>
        </is>
      </c>
      <c r="C89" s="10" t="inlineStr">
        <is>
          <t>1 m²</t>
        </is>
      </c>
      <c r="D89" s="11" t="inlineStr">
        <is>
          <t>Isolante principal — k ≈ 0,033 W/m·K. 30 mm, não 20 mm (ver Doc 12)</t>
        </is>
      </c>
      <c r="E89" s="11" t="inlineStr"/>
      <c r="F89" s="12">
        <f>HYPERLINK("https://lista.mercadolivre.com.br/xps-30-mm","🔎 xps 30 mm")</f>
        <v/>
      </c>
      <c r="G89" s="12">
        <f>HYPERLINK("https://www.amazon.com.br/s?k=xps+30+mm","🔎 Amazon")</f>
        <v/>
      </c>
      <c r="H89" s="13" t="inlineStr"/>
      <c r="I89" s="13" t="inlineStr"/>
      <c r="J89" s="14" t="inlineStr"/>
      <c r="K89" s="14">
        <f>IF(C89*J89=0,"",C89*J89)</f>
        <v/>
      </c>
    </row>
    <row r="90">
      <c r="A90" s="5" t="n">
        <v>77</v>
      </c>
      <c r="B90" s="6" t="inlineStr">
        <is>
          <t>Fita adesiva de alumínio 50 mm</t>
        </is>
      </c>
      <c r="C90" s="5" t="inlineStr">
        <is>
          <t>1 rolo</t>
        </is>
      </c>
      <c r="D90" s="6" t="inlineStr">
        <is>
          <t>⚠️ Barreira de vapor — obrigatória em todas as juntas do XPS, pelo lado externo (quente)</t>
        </is>
      </c>
      <c r="E90" s="6" t="inlineStr"/>
      <c r="F90" s="7">
        <f>HYPERLINK("https://lista.mercadolivre.com.br/fita-adesiva-aluminio-50-mm","🔎 fita adesiva aluminio 50 mm")</f>
        <v/>
      </c>
      <c r="G90" s="7">
        <f>HYPERLINK("https://www.amazon.com.br/s?k=fita+adesiva+aluminio+50+mm","🔎 Amazon")</f>
        <v/>
      </c>
      <c r="H90" s="8" t="inlineStr"/>
      <c r="I90" s="8" t="inlineStr"/>
      <c r="J90" s="9" t="inlineStr"/>
      <c r="K90" s="9">
        <f>IF(C90*J90=0,"",C90*J90)</f>
        <v/>
      </c>
    </row>
    <row r="91">
      <c r="A91" s="10" t="n">
        <v>78</v>
      </c>
      <c r="B91" s="11" t="inlineStr">
        <is>
          <t>Manta elastomérica autoadesiva 6 mm</t>
        </is>
      </c>
      <c r="C91" s="10" t="inlineStr">
        <is>
          <t>1 m²</t>
        </is>
      </c>
      <c r="D91" s="11" t="inlineStr">
        <is>
          <t>Tipo Armaflex — cantos, arestas e ao redor das passagens de cabo</t>
        </is>
      </c>
      <c r="E91" s="11" t="inlineStr"/>
      <c r="F91" s="12">
        <f>HYPERLINK("https://lista.mercadolivre.com.br/manta-elastomerica-autoadesiva-6-mm","🔎 manta elastomerica autoadesi")</f>
        <v/>
      </c>
      <c r="G91" s="12">
        <f>HYPERLINK("https://www.amazon.com.br/s?k=manta+elastomerica+autoadesiva+6+mm","🔎 Amazon")</f>
        <v/>
      </c>
      <c r="H91" s="13" t="inlineStr"/>
      <c r="I91" s="13" t="inlineStr"/>
      <c r="J91" s="14" t="inlineStr"/>
      <c r="K91" s="14">
        <f>IF(C91*J91=0,"",C91*J91)</f>
        <v/>
      </c>
    </row>
    <row r="92">
      <c r="A92" s="5" t="n">
        <v>79</v>
      </c>
      <c r="B92" s="6" t="inlineStr">
        <is>
          <t>Espuma expansiva PU (mini)</t>
        </is>
      </c>
      <c r="C92" s="5" t="inlineStr">
        <is>
          <t>1</t>
        </is>
      </c>
      <c r="D92" s="6" t="inlineStr">
        <is>
          <t>Selagem de passagens de cabo e dreno</t>
        </is>
      </c>
      <c r="E92" s="6" t="inlineStr"/>
      <c r="F92" s="7">
        <f>HYPERLINK("https://lista.mercadolivre.com.br/espuma-expansiva-pu","🔎 espuma expansiva pu")</f>
        <v/>
      </c>
      <c r="G92" s="7">
        <f>HYPERLINK("https://www.amazon.com.br/s?k=espuma+expansiva+pu","🔎 Amazon")</f>
        <v/>
      </c>
      <c r="H92" s="8" t="inlineStr"/>
      <c r="I92" s="8" t="inlineStr"/>
      <c r="J92" s="9" t="inlineStr"/>
      <c r="K92" s="9">
        <f>IF(C92*J92=0,"",C92*J92)</f>
        <v/>
      </c>
    </row>
    <row r="93" ht="22" customHeight="1">
      <c r="A93" s="4" t="inlineStr">
        <is>
          <t>C.3 — Vedação, porta e dreno</t>
        </is>
      </c>
    </row>
    <row r="94">
      <c r="A94" s="5" t="n">
        <v>80</v>
      </c>
      <c r="B94" s="6" t="inlineStr">
        <is>
          <t>Perfil EPDM tubular autoadesivo 9 × 6 mm</t>
        </is>
      </c>
      <c r="C94" s="5" t="inlineStr">
        <is>
          <t>2 m</t>
        </is>
      </c>
      <c r="D94" s="6" t="inlineStr">
        <is>
          <t>Vedação da porta — perfil tubular comprime muito melhor que o chato de 5 mm</t>
        </is>
      </c>
      <c r="E94" s="6" t="inlineStr"/>
      <c r="F94" s="7">
        <f>HYPERLINK("https://lista.mercadolivre.com.br/perfil-epdm-tubular-autoadesivo-9-6-mm","🔎 perfil epdm tubular autoades")</f>
        <v/>
      </c>
      <c r="G94" s="7">
        <f>HYPERLINK("https://www.amazon.com.br/s?k=perfil+epdm+tubular+autoadesivo+9+6+mm","🔎 Amazon")</f>
        <v/>
      </c>
      <c r="H94" s="8" t="inlineStr"/>
      <c r="I94" s="8" t="inlineStr"/>
      <c r="J94" s="9" t="inlineStr"/>
      <c r="K94" s="9">
        <f>IF(C94*J94=0,"",C94*J94)</f>
        <v/>
      </c>
    </row>
    <row r="95">
      <c r="A95" s="10" t="n">
        <v>81</v>
      </c>
      <c r="B95" s="11" t="inlineStr">
        <is>
          <t>Dobradiça piano de alumínio</t>
        </is>
      </c>
      <c r="C95" s="10" t="inlineStr">
        <is>
          <t>1</t>
        </is>
      </c>
      <c r="D95" s="11" t="inlineStr">
        <is>
          <t>250 mm (cortar de uma barra de 75 cm)</t>
        </is>
      </c>
      <c r="E95" s="11" t="inlineStr"/>
      <c r="F95" s="12">
        <f>HYPERLINK("https://lista.mercadolivre.com.br/dobradica-piano-aluminio","🔎 dobradica piano aluminio")</f>
        <v/>
      </c>
      <c r="G95" s="12">
        <f>HYPERLINK("https://www.amazon.com.br/s?k=dobradica+piano+aluminio","🔎 Amazon")</f>
        <v/>
      </c>
      <c r="H95" s="13" t="inlineStr"/>
      <c r="I95" s="13" t="inlineStr"/>
      <c r="J95" s="14" t="inlineStr"/>
      <c r="K95" s="14">
        <f>IF(C95*J95=0,"",C95*J95)</f>
        <v/>
      </c>
    </row>
    <row r="96">
      <c r="A96" s="5" t="n">
        <v>82</v>
      </c>
      <c r="B96" s="6" t="inlineStr">
        <is>
          <t>Fecho de pressão (borboleta) inox</t>
        </is>
      </c>
      <c r="C96" s="5" t="inlineStr">
        <is>
          <t>2</t>
        </is>
      </c>
      <c r="D96" s="6" t="inlineStr">
        <is>
          <t>Comprime a vedação — tipo fecho de baú</t>
        </is>
      </c>
      <c r="E96" s="6" t="inlineStr"/>
      <c r="F96" s="7">
        <f>HYPERLINK("https://lista.mercadolivre.com.br/fecho-pressao-inox","🔎 fecho pressao inox")</f>
        <v/>
      </c>
      <c r="G96" s="7">
        <f>HYPERLINK("https://www.amazon.com.br/s?k=fecho+pressao+inox","🔎 Amazon")</f>
        <v/>
      </c>
      <c r="H96" s="8" t="inlineStr"/>
      <c r="I96" s="8" t="inlineStr"/>
      <c r="J96" s="9" t="inlineStr"/>
      <c r="K96" s="9">
        <f>IF(C96*J96=0,"",C96*J96)</f>
        <v/>
      </c>
    </row>
    <row r="97">
      <c r="A97" s="10" t="n">
        <v>83</v>
      </c>
      <c r="B97" s="11" t="inlineStr">
        <is>
          <t>Puxador de câmara fria (miniatura)</t>
        </is>
      </c>
      <c r="C97" s="10" t="inlineStr">
        <is>
          <t>1</t>
        </is>
      </c>
      <c r="D97" s="11" t="inlineStr">
        <is>
          <t>Estética — pode ser um puxador de móvel pequeno</t>
        </is>
      </c>
      <c r="E97" s="11" t="inlineStr"/>
      <c r="F97" s="12">
        <f>HYPERLINK("https://lista.mercadolivre.com.br/puxador-camara-fria","🔎 puxador camara fria")</f>
        <v/>
      </c>
      <c r="G97" s="12">
        <f>HYPERLINK("https://www.amazon.com.br/s?k=puxador+camara+fria","🔎 Amazon")</f>
        <v/>
      </c>
      <c r="H97" s="13" t="inlineStr"/>
      <c r="I97" s="13" t="inlineStr"/>
      <c r="J97" s="14" t="inlineStr"/>
      <c r="K97" s="14">
        <f>IF(C97*J97=0,"",C97*J97)</f>
        <v/>
      </c>
    </row>
    <row r="98">
      <c r="A98" s="5" t="n">
        <v>84</v>
      </c>
      <c r="B98" s="6" t="inlineStr">
        <is>
          <t>Cola S-320 Sinteglas</t>
        </is>
      </c>
      <c r="C98" s="5" t="inlineStr">
        <is>
          <t>250 ml</t>
        </is>
      </c>
      <c r="D98" s="6" t="inlineStr">
        <is>
          <t>Colagem de acrílico por capilaridade</t>
        </is>
      </c>
      <c r="E98" s="6" t="inlineStr"/>
      <c r="F98" s="7">
        <f>HYPERLINK("https://lista.mercadolivre.com.br/cola-s-320-sinteglas","🔎 cola s 320 sinteglas")</f>
        <v/>
      </c>
      <c r="G98" s="7">
        <f>HYPERLINK("https://www.amazon.com.br/s?k=cola+s+320+sinteglas","🔎 Amazon")</f>
        <v/>
      </c>
      <c r="H98" s="8" t="inlineStr"/>
      <c r="I98" s="8" t="inlineStr"/>
      <c r="J98" s="9" t="inlineStr"/>
      <c r="K98" s="9">
        <f>IF(C98*J98=0,"",C98*J98)</f>
        <v/>
      </c>
    </row>
    <row r="99">
      <c r="A99" s="10" t="n">
        <v>85</v>
      </c>
      <c r="B99" s="11" t="inlineStr">
        <is>
          <t>Silicone neutro transparente</t>
        </is>
      </c>
      <c r="C99" s="10" t="inlineStr">
        <is>
          <t>1 tubo</t>
        </is>
      </c>
      <c r="D99" s="11" t="inlineStr">
        <is>
          <t>Vedação de juntas (⚠️ neutro, o acético ataca o acrílico)</t>
        </is>
      </c>
      <c r="E99" s="11" t="inlineStr"/>
      <c r="F99" s="12">
        <f>HYPERLINK("https://lista.mercadolivre.com.br/silicone-neutro-transparente","🔎 silicone neutro transparente")</f>
        <v/>
      </c>
      <c r="G99" s="12">
        <f>HYPERLINK("https://www.amazon.com.br/s?k=silicone+neutro+transparente","🔎 Amazon")</f>
        <v/>
      </c>
      <c r="H99" s="13" t="inlineStr"/>
      <c r="I99" s="13" t="inlineStr"/>
      <c r="J99" s="14" t="inlineStr"/>
      <c r="K99" s="14">
        <f>IF(C99*J99=0,"",C99*J99)</f>
        <v/>
      </c>
    </row>
    <row r="100">
      <c r="A100" s="5" t="n">
        <v>86</v>
      </c>
      <c r="B100" s="6" t="inlineStr">
        <is>
          <t>Bandeja de alumínio</t>
        </is>
      </c>
      <c r="C100" s="5" t="inlineStr">
        <is>
          <t>1</t>
        </is>
      </c>
      <c r="D100" s="6" t="inlineStr">
        <is>
          <t>~190 × 90 mm — coleta de condensado</t>
        </is>
      </c>
      <c r="E100" s="6" t="inlineStr"/>
      <c r="F100" s="7">
        <f>HYPERLINK("https://lista.mercadolivre.com.br/bandeja-aluminio","🔎 bandeja aluminio")</f>
        <v/>
      </c>
      <c r="G100" s="7">
        <f>HYPERLINK("https://www.amazon.com.br/s?k=bandeja+aluminio","🔎 Amazon")</f>
        <v/>
      </c>
      <c r="H100" s="8" t="inlineStr"/>
      <c r="I100" s="8" t="inlineStr"/>
      <c r="J100" s="9" t="inlineStr"/>
      <c r="K100" s="9">
        <f>IF(C100*J100=0,"",C100*J100)</f>
        <v/>
      </c>
    </row>
    <row r="101">
      <c r="A101" s="10" t="n">
        <v>87</v>
      </c>
      <c r="B101" s="11" t="inlineStr">
        <is>
          <t>Tubo de silicone Ø 6 mm</t>
        </is>
      </c>
      <c r="C101" s="10" t="inlineStr">
        <is>
          <t>40 cm</t>
        </is>
      </c>
      <c r="D101" s="11" t="inlineStr">
        <is>
          <t>Dreno até o recipiente externo</t>
        </is>
      </c>
      <c r="E101" s="11" t="inlineStr"/>
      <c r="F101" s="12">
        <f>HYPERLINK("https://lista.mercadolivre.com.br/tubo-silicone-6-mm","🔎 tubo silicone 6 mm")</f>
        <v/>
      </c>
      <c r="G101" s="12">
        <f>HYPERLINK("https://www.amazon.com.br/s?k=tubo+silicone+6+mm","🔎 Amazon")</f>
        <v/>
      </c>
      <c r="H101" s="13" t="inlineStr"/>
      <c r="I101" s="13" t="inlineStr"/>
      <c r="J101" s="14" t="inlineStr"/>
      <c r="K101" s="14">
        <f>IF(C101*J101=0,"",C101*J101)</f>
        <v/>
      </c>
    </row>
    <row r="102">
      <c r="A102" s="5" t="n">
        <v>88</v>
      </c>
      <c r="B102" s="6" t="inlineStr">
        <is>
          <t>Sílica gel indicadora</t>
        </is>
      </c>
      <c r="C102" s="5" t="inlineStr">
        <is>
          <t>3 sachês</t>
        </is>
      </c>
      <c r="D102" s="6" t="inlineStr">
        <is>
          <t>2 na câmara + 1 dentro da câmara de ar da porta dupla</t>
        </is>
      </c>
      <c r="E102" s="6" t="inlineStr"/>
      <c r="F102" s="7">
        <f>HYPERLINK("https://lista.mercadolivre.com.br/silica-gel-indicadora","🔎 silica gel indicadora")</f>
        <v/>
      </c>
      <c r="G102" s="7">
        <f>HYPERLINK("https://www.amazon.com.br/s?k=silica+gel+indicadora","🔎 Amazon")</f>
        <v/>
      </c>
      <c r="H102" s="8" t="inlineStr"/>
      <c r="I102" s="8" t="inlineStr"/>
      <c r="J102" s="9" t="inlineStr"/>
      <c r="K102" s="9">
        <f>IF(C102*J102=0,"",C102*J102)</f>
        <v/>
      </c>
    </row>
    <row r="103">
      <c r="A103" s="10" t="n">
        <v>89</v>
      </c>
      <c r="B103" s="11" t="inlineStr">
        <is>
          <t>Recipiente coletor de condensado</t>
        </is>
      </c>
      <c r="C103" s="10" t="inlineStr">
        <is>
          <t>1</t>
        </is>
      </c>
      <c r="D103" s="11" t="inlineStr">
        <is>
          <t>Frasco pequeno, embutido na maquete</t>
        </is>
      </c>
      <c r="E103" s="11" t="inlineStr"/>
      <c r="F103" s="12">
        <f>HYPERLINK("https://lista.mercadolivre.com.br/recipiente-coletor-condensado","🔎 recipiente coletor condensad")</f>
        <v/>
      </c>
      <c r="G103" s="12">
        <f>HYPERLINK("https://www.amazon.com.br/s?k=recipiente+coletor+condensado","🔎 Amazon")</f>
        <v/>
      </c>
      <c r="H103" s="13" t="inlineStr"/>
      <c r="I103" s="13" t="inlineStr"/>
      <c r="J103" s="14" t="inlineStr"/>
      <c r="K103" s="14">
        <f>IF(C103*J103=0,"",C103*J103)</f>
        <v/>
      </c>
    </row>
    <row r="104" ht="22" customHeight="1">
      <c r="A104" s="4" t="inlineStr">
        <is>
          <t>⚡ CAMADA 2 — PAINEL DE COMANDO</t>
        </is>
      </c>
    </row>
    <row r="105">
      <c r="A105" s="10" t="n">
        <v>90</v>
      </c>
      <c r="B105" s="11" t="inlineStr">
        <is>
          <t>Caixa de comando ou MDF</t>
        </is>
      </c>
      <c r="C105" s="10" t="inlineStr">
        <is>
          <t>1</t>
        </is>
      </c>
      <c r="D105" s="11" t="inlineStr">
        <is>
          <t>400 × 500 × 200 mm — comprada pronta ou feita em MDF 15 mm</t>
        </is>
      </c>
      <c r="E105" s="11" t="inlineStr"/>
      <c r="F105" s="12">
        <f>HYPERLINK("https://lista.mercadolivre.com.br/caixa-comando-mdf","🔎 caixa comando mdf")</f>
        <v/>
      </c>
      <c r="G105" s="12">
        <f>HYPERLINK("https://www.amazon.com.br/s?k=caixa+comando+mdf","🔎 Amazon")</f>
        <v/>
      </c>
      <c r="H105" s="13" t="inlineStr"/>
      <c r="I105" s="13" t="inlineStr"/>
      <c r="J105" s="14" t="inlineStr"/>
      <c r="K105" s="14">
        <f>IF(C105*J105=0,"",C105*J105)</f>
        <v/>
      </c>
    </row>
    <row r="106">
      <c r="A106" s="5" t="n">
        <v>91</v>
      </c>
      <c r="B106" s="6" t="inlineStr">
        <is>
          <t>Porta do painel</t>
        </is>
      </c>
      <c r="C106" s="5" t="inlineStr">
        <is>
          <t>1</t>
        </is>
      </c>
      <c r="D106" s="6" t="inlineStr">
        <is>
          <t>MDF 12 mm ou acrílico fumê 5 mm (fica bonito ver os LEDs)</t>
        </is>
      </c>
      <c r="E106" s="6" t="inlineStr"/>
      <c r="F106" s="7">
        <f>HYPERLINK("https://lista.mercadolivre.com.br/porta-painel","🔎 porta painel")</f>
        <v/>
      </c>
      <c r="G106" s="7">
        <f>HYPERLINK("https://www.amazon.com.br/s?k=porta+painel","🔎 Amazon")</f>
        <v/>
      </c>
      <c r="H106" s="8" t="inlineStr"/>
      <c r="I106" s="8" t="inlineStr"/>
      <c r="J106" s="9" t="inlineStr"/>
      <c r="K106" s="9">
        <f>IF(C106*J106=0,"",C106*J106)</f>
        <v/>
      </c>
    </row>
    <row r="107">
      <c r="A107" s="10" t="n">
        <v>92</v>
      </c>
      <c r="B107" s="11" t="inlineStr">
        <is>
          <t>Trilho DIN 35 mm</t>
        </is>
      </c>
      <c r="C107" s="10" t="inlineStr">
        <is>
          <t>1,5 m</t>
        </is>
      </c>
      <c r="D107" s="11" t="inlineStr">
        <is>
          <t>Aço galvanizado — 3 trilhos de ~360 mm</t>
        </is>
      </c>
      <c r="E107" s="11" t="inlineStr"/>
      <c r="F107" s="12">
        <f>HYPERLINK("https://lista.mercadolivre.com.br/trilho-din-35-mm","🔎 trilho din 35 mm")</f>
        <v/>
      </c>
      <c r="G107" s="12">
        <f>HYPERLINK("https://www.amazon.com.br/s?k=trilho+din+35+mm","🔎 Amazon")</f>
        <v/>
      </c>
      <c r="H107" s="13" t="inlineStr"/>
      <c r="I107" s="13" t="inlineStr"/>
      <c r="J107" s="14" t="inlineStr"/>
      <c r="K107" s="14">
        <f>IF(C107*J107=0,"",C107*J107)</f>
        <v/>
      </c>
    </row>
    <row r="108">
      <c r="A108" s="5" t="n">
        <v>93</v>
      </c>
      <c r="B108" s="6" t="inlineStr">
        <is>
          <t>Canaleta perfurada 30 × 30 mm</t>
        </is>
      </c>
      <c r="C108" s="5" t="inlineStr">
        <is>
          <t>2 m</t>
        </is>
      </c>
      <c r="D108" s="6" t="inlineStr">
        <is>
          <t>Com tampa — organização profissional dos cabos</t>
        </is>
      </c>
      <c r="E108" s="6" t="inlineStr"/>
      <c r="F108" s="7">
        <f>HYPERLINK("https://lista.mercadolivre.com.br/canaleta-perfurada-30-30-mm","🔎 canaleta perfurada 30 30 mm")</f>
        <v/>
      </c>
      <c r="G108" s="7">
        <f>HYPERLINK("https://www.amazon.com.br/s?k=canaleta+perfurada+30+30+mm","🔎 Amazon")</f>
        <v/>
      </c>
      <c r="H108" s="8" t="inlineStr"/>
      <c r="I108" s="8" t="inlineStr"/>
      <c r="J108" s="9" t="inlineStr"/>
      <c r="K108" s="9">
        <f>IF(C108*J108=0,"",C108*J108)</f>
        <v/>
      </c>
    </row>
    <row r="109">
      <c r="A109" s="10" t="n">
        <v>94</v>
      </c>
      <c r="B109" s="11" t="inlineStr">
        <is>
          <t>Bloco de distribuição DIN — 1 entrada 4 mm² + 4 saídas</t>
        </is>
      </c>
      <c r="C109" s="10" t="inlineStr">
        <is>
          <t>1</t>
        </is>
      </c>
      <c r="D109" s="11" t="inlineStr">
        <is>
          <t>BD-POT — 24 V de potência comutados pelo KA2 → BTS #1, BTS #2 e reservas. ⚠️ Cai com a emergência</t>
        </is>
      </c>
      <c r="E109" s="11" t="inlineStr"/>
      <c r="F109" s="12">
        <f>HYPERLINK("https://lista.mercadolivre.com.br/bloco-distribuicao-din","🔎 bloco distribuicao din")</f>
        <v/>
      </c>
      <c r="G109" s="12">
        <f>HYPERLINK("https://www.amazon.com.br/s?k=bloco+distribuicao+din","🔎 Amazon")</f>
        <v/>
      </c>
      <c r="H109" s="13" t="inlineStr"/>
      <c r="I109" s="13" t="inlineStr"/>
      <c r="J109" s="14" t="inlineStr"/>
      <c r="K109" s="14">
        <f>IF(C109*J109=0,"",C109*J109)</f>
        <v/>
      </c>
    </row>
    <row r="110">
      <c r="A110" s="5" t="n">
        <v>95</v>
      </c>
      <c r="B110" s="6" t="inlineStr">
        <is>
          <t>Bloco de distribuição DIN — 1 entrada 2,5 mm² + 4 saídas</t>
        </is>
      </c>
      <c r="C110" s="5" t="inlineStr">
        <is>
          <t>2</t>
        </is>
      </c>
      <c r="D110" s="6" t="inlineStr">
        <is>
          <t>BD-AUX (12 V auxiliar, do T3) e BD-24V (24 V permanentes: DNLCB30/ESP32, cadeia de comando e o positivo comum dos 4 sinaleiros). ⚠️ Não confundir com o BD-POT — este não cai com a emergência, é o que mantém a supervisão viva para publicar o evento por MQTT</t>
        </is>
      </c>
      <c r="E110" s="6" t="inlineStr"/>
      <c r="F110" s="7">
        <f>HYPERLINK("https://lista.mercadolivre.com.br/bloco-distribuicao-din","🔎 bloco distribuicao din")</f>
        <v/>
      </c>
      <c r="G110" s="7">
        <f>HYPERLINK("https://www.amazon.com.br/s?k=bloco+distribuicao+din","🔎 Amazon")</f>
        <v/>
      </c>
      <c r="H110" s="8" t="inlineStr"/>
      <c r="I110" s="8" t="inlineStr"/>
      <c r="J110" s="9" t="inlineStr"/>
      <c r="K110" s="9">
        <f>IF(C110*J110=0,"",C110*J110)</f>
        <v/>
      </c>
    </row>
    <row r="111">
      <c r="A111" s="10" t="n">
        <v>96</v>
      </c>
      <c r="B111" s="11" t="inlineStr">
        <is>
          <t>Bloco de distribuição DIN — 1 entrada 2,5 mm² + 6 saídas</t>
        </is>
      </c>
      <c r="C111" s="10" t="inlineStr">
        <is>
          <t>1</t>
        </is>
      </c>
      <c r="D111" s="11" t="inlineStr">
        <is>
          <t>BD-5V — Arduino, Nextion, SD/RTC, lógica dos 2 BTS, LEDs</t>
        </is>
      </c>
      <c r="E111" s="11" t="inlineStr"/>
      <c r="F111" s="12">
        <f>HYPERLINK("https://lista.mercadolivre.com.br/bloco-distribuicao-din","🔎 bloco distribuicao din")</f>
        <v/>
      </c>
      <c r="G111" s="12">
        <f>HYPERLINK("https://www.amazon.com.br/s?k=bloco+distribuicao+din","🔎 Amazon")</f>
        <v/>
      </c>
      <c r="H111" s="13" t="inlineStr"/>
      <c r="I111" s="13" t="inlineStr"/>
      <c r="J111" s="14" t="inlineStr"/>
      <c r="K111" s="14">
        <f>IF(C111*J111=0,"",C111*J111)</f>
        <v/>
      </c>
    </row>
    <row r="112">
      <c r="A112" s="5" t="n">
        <v>97</v>
      </c>
      <c r="B112" s="6" t="inlineStr">
        <is>
          <t>Bloco de distribuição DIN — 1 entrada 10 mm² + 8 saídas</t>
        </is>
      </c>
      <c r="C112" s="5" t="inlineStr">
        <is>
          <t>1</t>
        </is>
      </c>
      <c r="D112" s="6" t="inlineStr">
        <is>
          <t>BD-0V — ⭐ o star ground do projeto. Todos os retornos convergem aqui</t>
        </is>
      </c>
      <c r="E112" s="6" t="inlineStr"/>
      <c r="F112" s="7">
        <f>HYPERLINK("https://lista.mercadolivre.com.br/bloco-distribuicao-din","🔎 bloco distribuicao din")</f>
        <v/>
      </c>
      <c r="G112" s="7">
        <f>HYPERLINK("https://www.amazon.com.br/s?k=bloco+distribuicao+din","🔎 Amazon")</f>
        <v/>
      </c>
      <c r="H112" s="8" t="inlineStr"/>
      <c r="I112" s="8" t="inlineStr"/>
      <c r="J112" s="9" t="inlineStr"/>
      <c r="K112" s="9">
        <f>IF(C112*J112=0,"",C112*J112)</f>
        <v/>
      </c>
    </row>
    <row r="113">
      <c r="A113" s="10" t="n">
        <v>98</v>
      </c>
      <c r="B113" s="11" t="inlineStr">
        <is>
          <t>Bornes DIN parafuso 2,5 mm²</t>
        </is>
      </c>
      <c r="C113" s="10" t="inlineStr">
        <is>
          <t>6</t>
        </is>
      </c>
      <c r="D113" s="11" t="inlineStr">
        <is>
          <t>Passagem e reservas</t>
        </is>
      </c>
      <c r="E113" s="11" t="inlineStr"/>
      <c r="F113" s="12">
        <f>HYPERLINK("https://lista.mercadolivre.com.br/bornes-din-parafuso-2-5-mm","🔎 bornes din parafuso 2,5 mm")</f>
        <v/>
      </c>
      <c r="G113" s="12">
        <f>HYPERLINK("https://www.amazon.com.br/s?k=bornes+din+parafuso+2%2C5+mm","🔎 Amazon")</f>
        <v/>
      </c>
      <c r="H113" s="13" t="inlineStr"/>
      <c r="I113" s="13" t="inlineStr"/>
      <c r="J113" s="14" t="inlineStr"/>
      <c r="K113" s="14">
        <f>IF(C113*J113=0,"",C113*J113)</f>
        <v/>
      </c>
    </row>
    <row r="114">
      <c r="A114" s="5" t="n">
        <v>99</v>
      </c>
      <c r="B114" s="6" t="inlineStr">
        <is>
          <t>Separadores/tampas de borne</t>
        </is>
      </c>
      <c r="C114" s="5" t="inlineStr">
        <is>
          <t>4</t>
        </is>
      </c>
      <c r="D114" s="6" t="inlineStr">
        <is>
          <t>Acabamento das réguas</t>
        </is>
      </c>
      <c r="E114" s="6" t="inlineStr"/>
      <c r="F114" s="7">
        <f>HYPERLINK("https://lista.mercadolivre.com.br/separadores-tampas-borne","🔎 separadores tampas borne")</f>
        <v/>
      </c>
      <c r="G114" s="7">
        <f>HYPERLINK("https://www.amazon.com.br/s?k=separadores+tampas+borne","🔎 Amazon")</f>
        <v/>
      </c>
      <c r="H114" s="8" t="inlineStr"/>
      <c r="I114" s="8" t="inlineStr"/>
      <c r="J114" s="9" t="inlineStr"/>
      <c r="K114" s="9">
        <f>IF(C114*J114=0,"",C114*J114)</f>
        <v/>
      </c>
    </row>
    <row r="115">
      <c r="A115" s="10" t="n">
        <v>100</v>
      </c>
      <c r="B115" s="11" t="inlineStr">
        <is>
          <t>Alternativa mais barata: bornes comuns + ponte de interligação (pente)</t>
        </is>
      </c>
      <c r="C115" s="10" t="inlineStr">
        <is>
          <t>—</t>
        </is>
      </c>
      <c r="D115" s="11" t="inlineStr">
        <is>
          <t>Funciona igual aos blocos, custa menos, menos prático para alterar depois</t>
        </is>
      </c>
      <c r="E115" s="11" t="inlineStr"/>
      <c r="F115" s="12">
        <f>HYPERLINK("https://lista.mercadolivre.com.br/alternativa-mais-barata-bornes-comuns-ponte-interligacao","🔎 alternativa mais barata born")</f>
        <v/>
      </c>
      <c r="G115" s="12">
        <f>HYPERLINK("https://www.amazon.com.br/s?k=alternativa+mais+barata+bornes+comuns+ponte+interligacao","🔎 Amazon")</f>
        <v/>
      </c>
      <c r="H115" s="13" t="inlineStr"/>
      <c r="I115" s="13" t="inlineStr"/>
      <c r="J115" s="14" t="inlineStr"/>
      <c r="K115" s="14">
        <f>IF(C115*J115=0,"",C115*J115)</f>
        <v/>
      </c>
    </row>
    <row r="116">
      <c r="A116" s="5" t="n">
        <v>101</v>
      </c>
      <c r="B116" s="6" t="inlineStr">
        <is>
          <t>Identificadores de borne e de cabo</t>
        </is>
      </c>
      <c r="C116" s="5" t="inlineStr">
        <is>
          <t>1 kit</t>
        </is>
      </c>
      <c r="D116" s="6" t="inlineStr">
        <is>
          <t>Anilhas numeradas — exigido em painel industrial</t>
        </is>
      </c>
      <c r="E116" s="6" t="inlineStr"/>
      <c r="F116" s="7">
        <f>HYPERLINK("https://lista.mercadolivre.com.br/identificadores-borne-cabo","🔎 identificadores borne cabo")</f>
        <v/>
      </c>
      <c r="G116" s="7">
        <f>HYPERLINK("https://www.amazon.com.br/s?k=identificadores+borne+cabo","🔎 Amazon")</f>
        <v/>
      </c>
      <c r="H116" s="8" t="inlineStr"/>
      <c r="I116" s="8" t="inlineStr"/>
      <c r="J116" s="9" t="inlineStr"/>
      <c r="K116" s="9">
        <f>IF(C116*J116=0,"",C116*J116)</f>
        <v/>
      </c>
    </row>
    <row r="117">
      <c r="A117" s="10" t="n">
        <v>102</v>
      </c>
      <c r="B117" s="11" t="inlineStr">
        <is>
          <t>Trava-fim de trilho DIN</t>
        </is>
      </c>
      <c r="C117" s="10" t="inlineStr">
        <is>
          <t>8</t>
        </is>
      </c>
      <c r="D117" s="11" t="inlineStr">
        <is>
          <t>Impede os componentes de deslizarem</t>
        </is>
      </c>
      <c r="E117" s="11" t="inlineStr"/>
      <c r="F117" s="12">
        <f>HYPERLINK("https://lista.mercadolivre.com.br/trava-fim-trilho-din","🔎 trava fim trilho din")</f>
        <v/>
      </c>
      <c r="G117" s="12">
        <f>HYPERLINK("https://www.amazon.com.br/s?k=trava+fim+trilho+din","🔎 Amazon")</f>
        <v/>
      </c>
      <c r="H117" s="13" t="inlineStr"/>
      <c r="I117" s="13" t="inlineStr"/>
      <c r="J117" s="14" t="inlineStr"/>
      <c r="K117" s="14">
        <f>IF(C117*J117=0,"",C117*J117)</f>
        <v/>
      </c>
    </row>
    <row r="118">
      <c r="A118" s="5" t="n">
        <v>103</v>
      </c>
      <c r="B118" s="6" t="inlineStr">
        <is>
          <t>Botão de Emergência cogumelo 22 mm</t>
        </is>
      </c>
      <c r="C118" s="5" t="inlineStr">
        <is>
          <t>1</t>
        </is>
      </c>
      <c r="D118" s="6" t="inlineStr">
        <is>
          <t>Com trava (girar p/ destravar) — 2 blocos NF (1 para o comando 24 V, 1 para a leitura do Arduino)</t>
        </is>
      </c>
      <c r="E118" s="6" t="inlineStr"/>
      <c r="F118" s="7">
        <f>HYPERLINK("https://lista.mercadolivre.com.br/botao-emergencia-cogumelo-22-mm","🔎 botao emergencia cogumelo 22")</f>
        <v/>
      </c>
      <c r="G118" s="7">
        <f>HYPERLINK("https://www.amazon.com.br/s?k=botao+emergencia+cogumelo+22+mm","🔎 Amazon")</f>
        <v/>
      </c>
      <c r="H118" s="15">
        <f>HYPERLINK("https://pt.aliexpress.com/w/wholesale-22mm-emergency-stop-mushroom-button.html","🌏 22mm emergency stop mushro")</f>
        <v/>
      </c>
      <c r="I118" s="8" t="inlineStr"/>
      <c r="J118" s="9" t="inlineStr"/>
      <c r="K118" s="9">
        <f>IF(C118*J118=0,"",C118*J118)</f>
        <v/>
      </c>
    </row>
    <row r="119">
      <c r="A119" s="10" t="n">
        <v>104</v>
      </c>
      <c r="B119" s="11" t="inlineStr">
        <is>
          <t>Botão START 22 mm</t>
        </is>
      </c>
      <c r="C119" s="10" t="inlineStr">
        <is>
          <t>1</t>
        </is>
      </c>
      <c r="D119" s="11" t="inlineStr">
        <is>
          <t>Verde, momentâneo — 1 bloco NA (só informa o Arduino)</t>
        </is>
      </c>
      <c r="E119" s="11" t="inlineStr"/>
      <c r="F119" s="12">
        <f>HYPERLINK("https://lista.mercadolivre.com.br/botao-start-22-mm","🔎 botao start 22 mm")</f>
        <v/>
      </c>
      <c r="G119" s="12">
        <f>HYPERLINK("https://www.amazon.com.br/s?k=botao+start+22+mm","🔎 Amazon")</f>
        <v/>
      </c>
      <c r="H119" s="16">
        <f>HYPERLINK("https://pt.aliexpress.com/w/wholesale-22mm-push-button-switch-green.html","🌏 22mm push button switch gr")</f>
        <v/>
      </c>
      <c r="I119" s="13" t="inlineStr"/>
      <c r="J119" s="14" t="inlineStr"/>
      <c r="K119" s="14">
        <f>IF(C119*J119=0,"",C119*J119)</f>
        <v/>
      </c>
    </row>
    <row r="120">
      <c r="A120" s="5" t="n">
        <v>105</v>
      </c>
      <c r="B120" s="6" t="inlineStr">
        <is>
          <t>Botão STOP 22 mm</t>
        </is>
      </c>
      <c r="C120" s="5" t="inlineStr">
        <is>
          <t>1</t>
        </is>
      </c>
      <c r="D120" s="6" t="inlineStr">
        <is>
          <t>Vermelho, momentâneo — 1 NF (corta o KA2 em 24 V) + 1 NA (avisa o Arduino)</t>
        </is>
      </c>
      <c r="E120" s="6" t="inlineStr"/>
      <c r="F120" s="7">
        <f>HYPERLINK("https://lista.mercadolivre.com.br/botao-stop-22-mm","🔎 botao stop 22 mm")</f>
        <v/>
      </c>
      <c r="G120" s="7">
        <f>HYPERLINK("https://www.amazon.com.br/s?k=botao+stop+22+mm","🔎 Amazon")</f>
        <v/>
      </c>
      <c r="H120" s="15">
        <f>HYPERLINK("https://pt.aliexpress.com/w/wholesale-22mm-push-button-switch-red.html","🌏 22mm push button switch re")</f>
        <v/>
      </c>
      <c r="I120" s="8" t="inlineStr"/>
      <c r="J120" s="9" t="inlineStr"/>
      <c r="K120" s="9">
        <f>IF(C120*J120=0,"",C120*J120)</f>
        <v/>
      </c>
    </row>
    <row r="121">
      <c r="A121" s="10" t="n">
        <v>106</v>
      </c>
      <c r="B121" s="11" t="inlineStr">
        <is>
          <t>Botão REARME 22 mm</t>
        </is>
      </c>
      <c r="C121" s="10" t="inlineStr">
        <is>
          <t>1</t>
        </is>
      </c>
      <c r="D121" s="11" t="inlineStr">
        <is>
          <t>AZUL, momentâneo — 1 bloco NA. Refaz o selo do KA1 após a emergência. Buscar botão pulsador azul 22mm</t>
        </is>
      </c>
      <c r="E121" s="11" t="inlineStr"/>
      <c r="F121" s="12">
        <f>HYPERLINK("https://lista.mercadolivre.com.br/botao-rearme-22-mm","🔎 botao rearme 22 mm")</f>
        <v/>
      </c>
      <c r="G121" s="12">
        <f>HYPERLINK("https://www.amazon.com.br/s?k=botao+rearme+22+mm","🔎 Amazon")</f>
        <v/>
      </c>
      <c r="H121" s="16">
        <f>HYPERLINK("https://pt.aliexpress.com/w/wholesale-22mm-push-button-switch-blue.html","🌏 22mm push button switch bl")</f>
        <v/>
      </c>
      <c r="I121" s="13" t="inlineStr"/>
      <c r="J121" s="14" t="inlineStr"/>
      <c r="K121" s="14">
        <f>IF(C121*J121=0,"",C121*J121)</f>
        <v/>
      </c>
    </row>
    <row r="122">
      <c r="A122" s="5" t="n">
        <v>107</v>
      </c>
      <c r="B122" s="6" t="inlineStr">
        <is>
          <t>Blocos de contato 22 mm avulsos</t>
        </is>
      </c>
      <c r="C122" s="5" t="inlineStr">
        <is>
          <t>4</t>
        </is>
      </c>
      <c r="D122" s="6" t="inlineStr">
        <is>
          <t>3 NF + 1 NA: emergência (2 NF), STOP (1 NF + 1 NA). Ver Doc 31 §31.3</t>
        </is>
      </c>
      <c r="E122" s="6" t="inlineStr"/>
      <c r="F122" s="7">
        <f>HYPERLINK("https://lista.mercadolivre.com.br/blocos-contato-22-mm-avulsos","🔎 blocos contato 22 mm avulsos")</f>
        <v/>
      </c>
      <c r="G122" s="7">
        <f>HYPERLINK("https://www.amazon.com.br/s?k=blocos+contato+22+mm+avulsos","🔎 Amazon")</f>
        <v/>
      </c>
      <c r="H122" s="15">
        <f>HYPERLINK("https://pt.aliexpress.com/w/wholesale-22mm-push-button-contact-block-no-nc.html","🌏 22mm push button contact b")</f>
        <v/>
      </c>
      <c r="I122" s="8" t="inlineStr"/>
      <c r="J122" s="9" t="inlineStr"/>
      <c r="K122" s="9">
        <f>IF(C122*J122=0,"",C122*J122)</f>
        <v/>
      </c>
    </row>
    <row r="123">
      <c r="A123" s="10" t="n">
        <v>108</v>
      </c>
      <c r="B123" s="11" t="inlineStr">
        <is>
          <t>Chave seccionadora 24 V no painel</t>
        </is>
      </c>
      <c r="C123" s="10" t="inlineStr">
        <is>
          <t>1</t>
        </is>
      </c>
      <c r="D123" s="11" t="inlineStr">
        <is>
          <t>Rotativa 2 posições 22 mm — chave geral local da máquina</t>
        </is>
      </c>
      <c r="E123" s="11" t="inlineStr"/>
      <c r="F123" s="12">
        <f>HYPERLINK("https://lista.mercadolivre.com.br/chave-seccionadora-24-v-painel","🔎 chave seccionadora 24 v pain")</f>
        <v/>
      </c>
      <c r="G123" s="12">
        <f>HYPERLINK("https://www.amazon.com.br/s?k=chave+seccionadora+24+v+painel","🔎 Amazon")</f>
        <v/>
      </c>
      <c r="H123" s="13" t="inlineStr"/>
      <c r="I123" s="13" t="inlineStr"/>
      <c r="J123" s="14" t="inlineStr"/>
      <c r="K123" s="14">
        <f>IF(C123*J123=0,"",C123*J123)</f>
        <v/>
      </c>
    </row>
    <row r="124">
      <c r="A124" s="5" t="n">
        <v>109</v>
      </c>
      <c r="B124" s="6" t="inlineStr">
        <is>
          <t>Sinaleiros LED 22 mm 24 V</t>
        </is>
      </c>
      <c r="C124" s="5" t="inlineStr">
        <is>
          <t>4</t>
        </is>
      </c>
      <c r="D124" s="6" t="inlineStr">
        <is>
          <t>Verde (RUN), Azul (COOL), Amarelo (HEAT), Vermelho (FAULT). ⚠️ 24 V confirmado — acionados pelo ULN2803 da placa PI-1, alimentados pelo BD-24V permanente (o vermelho de FALHA precisa continuar aceso com a emergência acionada). ~20 mA cada, resistor interno já incluso</t>
        </is>
      </c>
      <c r="E124" s="6" t="inlineStr"/>
      <c r="F124" s="7">
        <f>HYPERLINK("https://lista.mercadolivre.com.br/sinaleiros-led-22-mm-24-v","🔎 sinaleiros led 22 mm 24 v")</f>
        <v/>
      </c>
      <c r="G124" s="7">
        <f>HYPERLINK("https://www.amazon.com.br/s?k=sinaleiros+led+22+mm+24+v","🔎 Amazon")</f>
        <v/>
      </c>
      <c r="H124" s="15">
        <f>HYPERLINK("https://pt.aliexpress.com/w/wholesale-22mm-led-pilot-indicator-lamp-24v.html","🌏 22mm LED pilot indicator l")</f>
        <v/>
      </c>
      <c r="I124" s="8" t="inlineStr"/>
      <c r="J124" s="9" t="inlineStr"/>
      <c r="K124" s="9">
        <f>IF(C124*J124=0,"",C124*J124)</f>
        <v/>
      </c>
    </row>
    <row r="125">
      <c r="A125" s="10" t="n">
        <v>110</v>
      </c>
      <c r="B125" s="11" t="inlineStr">
        <is>
          <t>Prensa-cabo PG9</t>
        </is>
      </c>
      <c r="C125" s="10" t="inlineStr">
        <is>
          <t>3</t>
        </is>
      </c>
      <c r="D125" s="11" t="inlineStr">
        <is>
          <t>Entrada 24 V de potência (vindo do P1) · saída de potência para a câmara · saída de sinais</t>
        </is>
      </c>
      <c r="E125" s="11" t="inlineStr"/>
      <c r="F125" s="12">
        <f>HYPERLINK("https://lista.mercadolivre.com.br/prensa-cabo-pg9","🔎 prensa cabo pg9")</f>
        <v/>
      </c>
      <c r="G125" s="12">
        <f>HYPERLINK("https://www.amazon.com.br/s?k=prensa+cabo+pg9","🔎 Amazon")</f>
        <v/>
      </c>
      <c r="H125" s="13" t="inlineStr"/>
      <c r="I125" s="13" t="inlineStr"/>
      <c r="J125" s="14" t="inlineStr"/>
      <c r="K125" s="14">
        <f>IF(C125*J125=0,"",C125*J125)</f>
        <v/>
      </c>
    </row>
    <row r="126">
      <c r="A126" s="5" t="n">
        <v>111</v>
      </c>
      <c r="B126" s="6" t="inlineStr">
        <is>
          <t>Prensa-cabo PG7</t>
        </is>
      </c>
      <c r="C126" s="5" t="inlineStr">
        <is>
          <t>2</t>
        </is>
      </c>
      <c r="D126" s="6" t="inlineStr">
        <is>
          <t>Entrada 5 V (do T2) e entrada 12 V auxiliar + 24 V (do T3)</t>
        </is>
      </c>
      <c r="E126" s="6" t="inlineStr"/>
      <c r="F126" s="7">
        <f>HYPERLINK("https://lista.mercadolivre.com.br/prensa-cabo-pg7","🔎 prensa cabo pg7")</f>
        <v/>
      </c>
      <c r="G126" s="7">
        <f>HYPERLINK("https://www.amazon.com.br/s?k=prensa+cabo+pg7","🔎 Amazon")</f>
        <v/>
      </c>
      <c r="H126" s="8" t="inlineStr"/>
      <c r="I126" s="8" t="inlineStr"/>
      <c r="J126" s="9" t="inlineStr"/>
      <c r="K126" s="9">
        <f>IF(C126*J126=0,"",C126*J126)</f>
        <v/>
      </c>
    </row>
    <row r="127">
      <c r="A127" s="10" t="n">
        <v>112</v>
      </c>
      <c r="B127" s="11" t="inlineStr">
        <is>
          <t>Bolsa porta-documentos p/ porta</t>
        </is>
      </c>
      <c r="C127" s="10" t="inlineStr">
        <is>
          <t>1</t>
        </is>
      </c>
      <c r="D127" s="11" t="inlineStr">
        <is>
          <t>Guarda o diagrama elétrico — padrão em painel industrial</t>
        </is>
      </c>
      <c r="E127" s="11" t="inlineStr"/>
      <c r="F127" s="12">
        <f>HYPERLINK("https://lista.mercadolivre.com.br/bolsa-porta-documentos-p-porta","🔎 bolsa porta documentos p por")</f>
        <v/>
      </c>
      <c r="G127" s="12">
        <f>HYPERLINK("https://www.amazon.com.br/s?k=bolsa+porta+documentos+p+porta","🔎 Amazon")</f>
        <v/>
      </c>
      <c r="H127" s="13" t="inlineStr"/>
      <c r="I127" s="13" t="inlineStr"/>
      <c r="J127" s="14" t="inlineStr"/>
      <c r="K127" s="14">
        <f>IF(C127*J127=0,"",C127*J127)</f>
        <v/>
      </c>
    </row>
    <row r="128" ht="22" customHeight="1">
      <c r="A128" s="4" t="inlineStr">
        <is>
          <t>L.1 — Controle e interface</t>
        </is>
      </c>
    </row>
    <row r="129">
      <c r="A129" s="10" t="n">
        <v>113</v>
      </c>
      <c r="B129" s="11" t="inlineStr">
        <is>
          <t>Arduino Mega 2560 R3</t>
        </is>
      </c>
      <c r="C129" s="10" t="inlineStr">
        <is>
          <t>1</t>
        </is>
      </c>
      <c r="D129" s="11" t="inlineStr">
        <is>
          <t>ATmega2560, 54 GPIO, 4 UARTs</t>
        </is>
      </c>
      <c r="E129" s="11" t="inlineStr"/>
      <c r="F129" s="12">
        <f>HYPERLINK("https://lista.mercadolivre.com.br/arduino-mega-2560-r3","🔎 arduino mega 2560 r3")</f>
        <v/>
      </c>
      <c r="G129" s="12">
        <f>HYPERLINK("https://www.amazon.com.br/s?k=arduino+mega+2560+r3","🔎 Amazon")</f>
        <v/>
      </c>
      <c r="H129" s="16">
        <f>HYPERLINK("https://pt.aliexpress.com/w/wholesale-arduino-mega-2560-r3.html","🌏 Arduino Mega 2560 R3")</f>
        <v/>
      </c>
      <c r="I129" s="13" t="inlineStr"/>
      <c r="J129" s="14" t="inlineStr"/>
      <c r="K129" s="14">
        <f>IF(C129*J129=0,"",C129*J129)</f>
        <v/>
      </c>
    </row>
    <row r="130">
      <c r="A130" s="5" t="n">
        <v>114</v>
      </c>
      <c r="B130" s="6" t="inlineStr">
        <is>
          <t>Shield de expansão Mega (bornes parafuso)</t>
        </is>
      </c>
      <c r="C130" s="5" t="inlineStr">
        <is>
          <t>1</t>
        </is>
      </c>
      <c r="D130" s="6" t="inlineStr">
        <is>
          <t>Sensor Shield V2.0</t>
        </is>
      </c>
      <c r="E130" s="6" t="inlineStr"/>
      <c r="F130" s="7">
        <f>HYPERLINK("https://lista.mercadolivre.com.br/shield-expansao-mega","🔎 shield expansao mega")</f>
        <v/>
      </c>
      <c r="G130" s="7">
        <f>HYPERLINK("https://www.amazon.com.br/s?k=shield+expansao+mega","🔎 Amazon")</f>
        <v/>
      </c>
      <c r="H130" s="8" t="inlineStr"/>
      <c r="I130" s="8" t="inlineStr"/>
      <c r="J130" s="9" t="inlineStr"/>
      <c r="K130" s="9">
        <f>IF(C130*J130=0,"",C130*J130)</f>
        <v/>
      </c>
    </row>
    <row r="131">
      <c r="A131" s="10" t="n">
        <v>115</v>
      </c>
      <c r="B131" s="11" t="inlineStr">
        <is>
          <t>Suporte DIN para Arduino Mega</t>
        </is>
      </c>
      <c r="C131" s="10" t="inlineStr">
        <is>
          <t>1</t>
        </is>
      </c>
      <c r="D131" s="11" t="inlineStr">
        <is>
          <t>Ou SPCI4/adaptador</t>
        </is>
      </c>
      <c r="E131" s="11" t="inlineStr"/>
      <c r="F131" s="12">
        <f>HYPERLINK("https://lista.mercadolivre.com.br/suporte-din-arduino-mega","🔎 suporte din arduino mega")</f>
        <v/>
      </c>
      <c r="G131" s="12">
        <f>HYPERLINK("https://www.amazon.com.br/s?k=suporte+din+arduino+mega","🔎 Amazon")</f>
        <v/>
      </c>
      <c r="H131" s="13" t="inlineStr"/>
      <c r="I131" s="13" t="inlineStr"/>
      <c r="J131" s="14" t="inlineStr"/>
      <c r="K131" s="14">
        <f>IF(C131*J131=0,"",C131*J131)</f>
        <v/>
      </c>
    </row>
    <row r="132">
      <c r="A132" s="5" t="n">
        <v>116</v>
      </c>
      <c r="B132" s="6" t="inlineStr">
        <is>
          <t>Tela Nextion Basic 3.2"</t>
        </is>
      </c>
      <c r="C132" s="5" t="inlineStr">
        <is>
          <t>1</t>
        </is>
      </c>
      <c r="D132" s="6" t="inlineStr">
        <is>
          <t>NX4024T032, 400×240, TTL 5 V</t>
        </is>
      </c>
      <c r="E132" s="6" t="inlineStr"/>
      <c r="F132" s="7">
        <f>HYPERLINK("https://lista.mercadolivre.com.br/tela-nextion-basic-3-2","🔎 tela nextion basic 3 2")</f>
        <v/>
      </c>
      <c r="G132" s="7">
        <f>HYPERLINK("https://www.amazon.com.br/s?k=tela+nextion+basic+3+2","🔎 Amazon")</f>
        <v/>
      </c>
      <c r="H132" s="15">
        <f>HYPERLINK("https://pt.aliexpress.com/w/wholesale-nextion-nx4024t032-3-2-inch-hmi.html","🌏 Nextion NX4024T032 3.2 inc")</f>
        <v/>
      </c>
      <c r="I132" s="8" t="inlineStr"/>
      <c r="J132" s="9" t="inlineStr"/>
      <c r="K132" s="9">
        <f>IF(C132*J132=0,"",C132*J132)</f>
        <v/>
      </c>
    </row>
    <row r="133">
      <c r="A133" s="10" t="n">
        <v>117</v>
      </c>
      <c r="B133" s="11" t="inlineStr">
        <is>
          <t>ESP32-WROOM-32U</t>
        </is>
      </c>
      <c r="C133" s="10" t="inlineStr">
        <is>
          <t>1</t>
        </is>
      </c>
      <c r="D133" s="11" t="inlineStr">
        <is>
          <t>30 pinos, conector de antena IPEX</t>
        </is>
      </c>
      <c r="E133" s="11" t="inlineStr"/>
      <c r="F133" s="12">
        <f>HYPERLINK("https://lista.mercadolivre.com.br/esp32-wroom-32u","🔎 esp32 wroom 32u")</f>
        <v/>
      </c>
      <c r="G133" s="12">
        <f>HYPERLINK("https://www.amazon.com.br/s?k=esp32+wroom+32u","🔎 Amazon")</f>
        <v/>
      </c>
      <c r="H133" s="16">
        <f>HYPERLINK("https://pt.aliexpress.com/w/wholesale-esp32-wroom-32u.html","🌏 ESP32 WROOM 32U")</f>
        <v/>
      </c>
      <c r="I133" s="13" t="inlineStr"/>
      <c r="J133" s="14" t="inlineStr"/>
      <c r="K133" s="14">
        <f>IF(C133*J133=0,"",C133*J133)</f>
        <v/>
      </c>
    </row>
    <row r="134">
      <c r="A134" s="5" t="n">
        <v>118</v>
      </c>
      <c r="B134" s="6" t="inlineStr">
        <is>
          <t>DNLCB30 — base DIN para ESP32</t>
        </is>
      </c>
      <c r="C134" s="5" t="inlineStr">
        <is>
          <t>1</t>
        </is>
      </c>
      <c r="D134" s="6" t="inlineStr">
        <is>
          <t>Entrada 7–35 V (alimentada direto do barramento 24 V), conversão 3,3 ↔ 5 V automática. Não inclui o ESP32</t>
        </is>
      </c>
      <c r="E134" s="6" t="inlineStr"/>
      <c r="F134" s="7">
        <f>HYPERLINK("https://lista.mercadolivre.com.br/dnlcb30-base-din-esp32","🔎 dnlcb30 base din esp32")</f>
        <v/>
      </c>
      <c r="G134" s="7">
        <f>HYPERLINK("https://www.amazon.com.br/s?k=dnlcb30+base+din+esp32","🔎 Amazon")</f>
        <v/>
      </c>
      <c r="H134" s="8" t="inlineStr"/>
      <c r="I134" s="8" t="inlineStr"/>
      <c r="J134" s="9" t="inlineStr"/>
      <c r="K134" s="9">
        <f>IF(C134*J134=0,"",C134*J134)</f>
        <v/>
      </c>
    </row>
    <row r="135">
      <c r="A135" s="10" t="n">
        <v>119</v>
      </c>
      <c r="B135" s="11" t="inlineStr">
        <is>
          <t>Pigtail IPEX (u.FL) → SMA macho, 20–30 cm</t>
        </is>
      </c>
      <c r="C135" s="10" t="inlineStr">
        <is>
          <t>1</t>
        </is>
      </c>
      <c r="D135" s="11" t="inlineStr">
        <is>
          <t>Liga o ESP32 ao conector de painel</t>
        </is>
      </c>
      <c r="E135" s="11" t="inlineStr"/>
      <c r="F135" s="12">
        <f>HYPERLINK("https://lista.mercadolivre.com.br/pigtail-ipex-sma-macho-20-30-cm","🔎 pigtail ipex sma macho, 20 3")</f>
        <v/>
      </c>
      <c r="G135" s="12">
        <f>HYPERLINK("https://www.amazon.com.br/s?k=pigtail+ipex+sma+macho%2C+20+30+cm","🔎 Amazon")</f>
        <v/>
      </c>
      <c r="H135" s="16">
        <f>HYPERLINK("https://pt.aliexpress.com/w/wholesale-ipex-u-fl-to-sma-pigtail-cable.html","🌏 IPEX u.FL to SMA pigtail c")</f>
        <v/>
      </c>
      <c r="I135" s="13" t="inlineStr"/>
      <c r="J135" s="14" t="inlineStr"/>
      <c r="K135" s="14">
        <f>IF(C135*J135=0,"",C135*J135)</f>
        <v/>
      </c>
    </row>
    <row r="136">
      <c r="A136" s="5" t="n">
        <v>120</v>
      </c>
      <c r="B136" s="6" t="inlineStr">
        <is>
          <t>Conector SMA fêmea de painel (bulkhead)</t>
        </is>
      </c>
      <c r="C136" s="5" t="inlineStr">
        <is>
          <t>1</t>
        </is>
      </c>
      <c r="D136" s="6" t="inlineStr">
        <is>
          <t>Rosca de painel Ø 6,5 mm, com porca e arruela de pressão. ⚠️ Nunca passar o coaxial por prensa-cabo</t>
        </is>
      </c>
      <c r="E136" s="6" t="inlineStr"/>
      <c r="F136" s="7">
        <f>HYPERLINK("https://lista.mercadolivre.com.br/conector-sma-femea-painel","🔎 conector sma femea painel")</f>
        <v/>
      </c>
      <c r="G136" s="7">
        <f>HYPERLINK("https://www.amazon.com.br/s?k=conector+sma+femea+painel","🔎 Amazon")</f>
        <v/>
      </c>
      <c r="H136" s="15">
        <f>HYPERLINK("https://pt.aliexpress.com/w/wholesale-sma-bulkhead-panel-connector-female.html","🌏 SMA bulkhead panel connect")</f>
        <v/>
      </c>
      <c r="I136" s="8" t="inlineStr"/>
      <c r="J136" s="9" t="inlineStr"/>
      <c r="K136" s="9">
        <f>IF(C136*J136=0,"",C136*J136)</f>
        <v/>
      </c>
    </row>
    <row r="137">
      <c r="A137" s="10" t="n">
        <v>121</v>
      </c>
      <c r="B137" s="11" t="inlineStr">
        <is>
          <t>Antena 2,4 GHz SMA macho 3 dBi articulável</t>
        </is>
      </c>
      <c r="C137" s="10" t="inlineStr">
        <is>
          <t>1</t>
        </is>
      </c>
      <c r="D137" s="11" t="inlineStr">
        <is>
          <t>Rosqueada por fora, na lateral direita, parte alta do painel</t>
        </is>
      </c>
      <c r="E137" s="11" t="inlineStr"/>
      <c r="F137" s="12">
        <f>HYPERLINK("https://lista.mercadolivre.com.br/antena-2-4-ghz-sma-macho-3-dbi","🔎 antena 2,4 ghz sma macho 3 d")</f>
        <v/>
      </c>
      <c r="G137" s="12">
        <f>HYPERLINK("https://www.amazon.com.br/s?k=antena+2%2C4+ghz+sma+macho+3+dbi","🔎 Amazon")</f>
        <v/>
      </c>
      <c r="H137" s="16">
        <f>HYPERLINK("https://pt.aliexpress.com/w/wholesale-2-4ghz-sma-antenna-3dbi.html","🌏 2.4GHz SMA antenna 3dBi")</f>
        <v/>
      </c>
      <c r="I137" s="13" t="inlineStr"/>
      <c r="J137" s="14" t="inlineStr"/>
      <c r="K137" s="14">
        <f>IF(C137*J137=0,"",C137*J137)</f>
        <v/>
      </c>
    </row>
    <row r="138">
      <c r="A138" s="5" t="n">
        <v>122</v>
      </c>
      <c r="B138" s="6" t="inlineStr">
        <is>
          <t>Módulo Micro SD (SPI)</t>
        </is>
      </c>
      <c r="C138" s="5" t="inlineStr">
        <is>
          <t>1</t>
        </is>
      </c>
      <c r="D138" s="6" t="inlineStr">
        <is>
          <t>5 V, com regulador e level shifter</t>
        </is>
      </c>
      <c r="E138" s="6" t="inlineStr"/>
      <c r="F138" s="7">
        <f>HYPERLINK("https://lista.mercadolivre.com.br/modulo-micro-sd","🔎 modulo micro sd")</f>
        <v/>
      </c>
      <c r="G138" s="7">
        <f>HYPERLINK("https://www.amazon.com.br/s?k=modulo+micro+sd","🔎 Amazon")</f>
        <v/>
      </c>
      <c r="H138" s="15">
        <f>HYPERLINK("https://pt.aliexpress.com/w/wholesale-micro-sd-card-module-spi-arduino.html","🌏 micro SD card module SPI a")</f>
        <v/>
      </c>
      <c r="I138" s="8" t="inlineStr"/>
      <c r="J138" s="9" t="inlineStr"/>
      <c r="K138" s="9">
        <f>IF(C138*J138=0,"",C138*J138)</f>
        <v/>
      </c>
    </row>
    <row r="139">
      <c r="A139" s="10" t="n">
        <v>123</v>
      </c>
      <c r="B139" s="11" t="inlineStr">
        <is>
          <t>Cartão Micro SD</t>
        </is>
      </c>
      <c r="C139" s="10" t="inlineStr">
        <is>
          <t>1</t>
        </is>
      </c>
      <c r="D139" s="11" t="inlineStr">
        <is>
          <t>8–16 GB, Classe 10</t>
        </is>
      </c>
      <c r="E139" s="11" t="inlineStr"/>
      <c r="F139" s="12">
        <f>HYPERLINK("https://lista.mercadolivre.com.br/cartao-micro-sd","🔎 cartao micro sd")</f>
        <v/>
      </c>
      <c r="G139" s="12">
        <f>HYPERLINK("https://www.amazon.com.br/s?k=cartao+micro+sd","🔎 Amazon")</f>
        <v/>
      </c>
      <c r="H139" s="16">
        <f>HYPERLINK("https://pt.aliexpress.com/w/wholesale-micro-sd-card-module-spi-arduino.html","🌏 micro SD card module SPI a")</f>
        <v/>
      </c>
      <c r="I139" s="13" t="inlineStr"/>
      <c r="J139" s="14" t="inlineStr"/>
      <c r="K139" s="14">
        <f>IF(C139*J139=0,"",C139*J139)</f>
        <v/>
      </c>
    </row>
    <row r="140">
      <c r="A140" s="5" t="n">
        <v>124</v>
      </c>
      <c r="B140" s="6" t="inlineStr">
        <is>
          <t>Módulo RTC DS3231</t>
        </is>
      </c>
      <c r="C140" s="5" t="inlineStr">
        <is>
          <t>1</t>
        </is>
      </c>
      <c r="D140" s="6" t="inlineStr">
        <is>
          <t>I²C, ±2 ppm</t>
        </is>
      </c>
      <c r="E140" s="6" t="inlineStr"/>
      <c r="F140" s="7">
        <f>HYPERLINK("https://lista.mercadolivre.com.br/modulo-rtc-ds3231","🔎 modulo rtc ds3231")</f>
        <v/>
      </c>
      <c r="G140" s="7">
        <f>HYPERLINK("https://www.amazon.com.br/s?k=modulo+rtc+ds3231","🔎 Amazon")</f>
        <v/>
      </c>
      <c r="H140" s="15">
        <f>HYPERLINK("https://pt.aliexpress.com/w/wholesale-ds3231-rtc-module.html","🌏 DS3231 RTC module")</f>
        <v/>
      </c>
      <c r="I140" s="8" t="inlineStr"/>
      <c r="J140" s="9" t="inlineStr"/>
      <c r="K140" s="9">
        <f>IF(C140*J140=0,"",C140*J140)</f>
        <v/>
      </c>
    </row>
    <row r="141">
      <c r="A141" s="10" t="n">
        <v>125</v>
      </c>
      <c r="B141" s="11" t="inlineStr">
        <is>
          <t>Bateria CR2032</t>
        </is>
      </c>
      <c r="C141" s="10" t="inlineStr">
        <is>
          <t>1</t>
        </is>
      </c>
      <c r="D141" s="11" t="inlineStr">
        <is>
          <t>Backup do RTC</t>
        </is>
      </c>
      <c r="E141" s="11" t="inlineStr"/>
      <c r="F141" s="12">
        <f>HYPERLINK("https://lista.mercadolivre.com.br/bateria-cr2032","🔎 bateria cr2032")</f>
        <v/>
      </c>
      <c r="G141" s="12">
        <f>HYPERLINK("https://www.amazon.com.br/s?k=bateria+cr2032","🔎 Amazon")</f>
        <v/>
      </c>
      <c r="H141" s="13" t="inlineStr"/>
      <c r="I141" s="13" t="inlineStr"/>
      <c r="J141" s="14" t="inlineStr"/>
      <c r="K141" s="14">
        <f>IF(C141*J141=0,"",C141*J141)</f>
        <v/>
      </c>
    </row>
    <row r="142" ht="22" customHeight="1">
      <c r="A142" s="4" t="inlineStr">
        <is>
          <t>L.2 — Potência e acionamento</t>
        </is>
      </c>
    </row>
    <row r="143">
      <c r="A143" s="10" t="n">
        <v>126</v>
      </c>
      <c r="B143" s="11" t="inlineStr">
        <is>
          <t>Driver ponte-H BTS7960</t>
        </is>
      </c>
      <c r="C143" s="10" t="inlineStr">
        <is>
          <t>2</t>
        </is>
      </c>
      <c r="D143" s="11" t="inlineStr">
        <is>
          <t>43 A, pino IS de diagnóstico</t>
        </is>
      </c>
      <c r="E143" s="11" t="inlineStr"/>
      <c r="F143" s="12">
        <f>HYPERLINK("https://lista.mercadolivre.com.br/driver-ponte-h-bts7960","🔎 driver ponte h bts7960")</f>
        <v/>
      </c>
      <c r="G143" s="12">
        <f>HYPERLINK("https://www.amazon.com.br/s?k=driver+ponte+h+bts7960","🔎 Amazon")</f>
        <v/>
      </c>
      <c r="H143" s="16">
        <f>HYPERLINK("https://pt.aliexpress.com/w/wholesale-bts7960-43a-motor-driver-module.html","🌏 BTS7960 43A motor driver m")</f>
        <v/>
      </c>
      <c r="I143" s="13" t="inlineStr"/>
      <c r="J143" s="14" t="inlineStr"/>
      <c r="K143" s="14">
        <f>IF(C143*J143=0,"",C143*J143)</f>
        <v/>
      </c>
    </row>
    <row r="144">
      <c r="A144" s="5" t="n">
        <v>127</v>
      </c>
      <c r="B144" s="6" t="inlineStr">
        <is>
          <t>Suporte SPCI4 trilho DIN</t>
        </is>
      </c>
      <c r="C144" s="5" t="inlineStr">
        <is>
          <t>2</t>
        </is>
      </c>
      <c r="D144" s="6" t="inlineStr">
        <is>
          <t>Fixa PCI 100 × 79 mm</t>
        </is>
      </c>
      <c r="E144" s="6" t="inlineStr"/>
      <c r="F144" s="7">
        <f>HYPERLINK("https://lista.mercadolivre.com.br/suporte-spci4-trilho-din","🔎 suporte spci4 trilho din")</f>
        <v/>
      </c>
      <c r="G144" s="7">
        <f>HYPERLINK("https://www.amazon.com.br/s?k=suporte+spci4+trilho+din","🔎 Amazon")</f>
        <v/>
      </c>
      <c r="H144" s="8" t="inlineStr"/>
      <c r="I144" s="8" t="inlineStr"/>
      <c r="J144" s="9" t="inlineStr"/>
      <c r="K144" s="9">
        <f>IF(C144*J144=0,"",C144*J144)</f>
        <v/>
      </c>
    </row>
    <row r="145">
      <c r="A145" s="10" t="n">
        <v>128</v>
      </c>
      <c r="B145" s="11" t="inlineStr">
        <is>
          <t>Cooler 40 mm 12 V</t>
        </is>
      </c>
      <c r="C145" s="10" t="inlineStr">
        <is>
          <t>1</t>
        </is>
      </c>
      <c r="D145" s="11" t="inlineStr">
        <is>
          <t>Refrigeração dos BTS</t>
        </is>
      </c>
      <c r="E145" s="11" t="inlineStr"/>
      <c r="F145" s="12">
        <f>HYPERLINK("https://lista.mercadolivre.com.br/cooler-40-mm-12-v","🔎 cooler 40 mm 12 v")</f>
        <v/>
      </c>
      <c r="G145" s="12">
        <f>HYPERLINK("https://www.amazon.com.br/s?k=cooler+40+mm+12+v","🔎 Amazon")</f>
        <v/>
      </c>
      <c r="H145" s="16">
        <f>HYPERLINK("https://pt.aliexpress.com/w/wholesale-40mm-fan-12v-dc.html","🌏 40mm fan 12V DC")</f>
        <v/>
      </c>
      <c r="I145" s="13" t="inlineStr"/>
      <c r="J145" s="14" t="inlineStr"/>
      <c r="K145" s="14">
        <f>IF(C145*J145=0,"",C145*J145)</f>
        <v/>
      </c>
    </row>
    <row r="146">
      <c r="A146" s="5" t="n">
        <v>129</v>
      </c>
      <c r="B146" s="6" t="inlineStr">
        <is>
          <t>KA1 — Relé de interface 24 Vcc, 2 contatos</t>
        </is>
      </c>
      <c r="C146" s="5" t="inlineStr">
        <is>
          <t>1</t>
        </is>
      </c>
      <c r="D146" s="6" t="inlineStr">
        <is>
          <t>Faz o selo (habilitação) e alimenta a bobina do KA2. Conduz só miliampères — 6 A basta. Buscar relé de interface 24vdc 2 contatos din. Premium: Finder 55.32.9.024.0040</t>
        </is>
      </c>
      <c r="E146" s="6" t="inlineStr"/>
      <c r="F146" s="7">
        <f>HYPERLINK("https://lista.mercadolivre.com.br/rele-interface-24-vcc-2-contatos","🔎 rele interface 24 vcc, 2 con")</f>
        <v/>
      </c>
      <c r="G146" s="7">
        <f>HYPERLINK("https://www.amazon.com.br/s?k=rele+interface+24+vcc%2C+2+contatos","🔎 Amazon")</f>
        <v/>
      </c>
      <c r="H146" s="8" t="inlineStr"/>
      <c r="I146" s="8" t="inlineStr"/>
      <c r="J146" s="9" t="inlineStr"/>
      <c r="K146" s="9">
        <f>IF(C146*J146=0,"",C146*J146)</f>
        <v/>
      </c>
    </row>
    <row r="147">
      <c r="A147" s="10" t="n">
        <v>130</v>
      </c>
      <c r="B147" s="11" t="inlineStr">
        <is>
          <t>KA2 — Relé de interface 24 Vcc, contato ≥ 10 A</t>
        </is>
      </c>
      <c r="C147" s="10" t="inlineStr">
        <is>
          <t>1</t>
        </is>
      </c>
      <c r="D147" s="11" t="inlineStr">
        <is>
          <t>É ele que chaveia os 24 V / 6,0 A de potência dos BTS. ⚠️ Confirme os 10 A no anúncio — a maioria dos slim é de 6 A — e confirme que a corrente é declarada em DC: muito relé de 10 A/250 VAC cai para 5 A ou menos em 24 Vcc, porque corrente contínua não tem passagem por zero e o arco custa mais a extinguir. Buscar relé de interface 24vdc 10a trilho din. Premium: Finder 46.61.9.024.0040 + base 95.05 (16 A)</t>
        </is>
      </c>
      <c r="E147" s="11" t="inlineStr"/>
      <c r="F147" s="12">
        <f>HYPERLINK("https://lista.mercadolivre.com.br/rele-interface-24-vcc-contato-10","🔎 rele interface 24 vcc, conta")</f>
        <v/>
      </c>
      <c r="G147" s="12">
        <f>HYPERLINK("https://www.amazon.com.br/s?k=rele+interface+24+vcc%2C+contato+10","🔎 Amazon")</f>
        <v/>
      </c>
      <c r="H147" s="13" t="inlineStr"/>
      <c r="I147" s="13" t="inlineStr"/>
      <c r="J147" s="14" t="inlineStr"/>
      <c r="K147" s="14">
        <f>IF(C147*J147=0,"",C147*J147)</f>
        <v/>
      </c>
    </row>
    <row r="148">
      <c r="A148" s="5" t="n">
        <v>131</v>
      </c>
      <c r="B148" s="6" t="inlineStr">
        <is>
          <t>Resistor 10 kΩ 1/4 W</t>
        </is>
      </c>
      <c r="C148" s="5" t="inlineStr">
        <is>
          <t>4</t>
        </is>
      </c>
      <c r="D148" s="6" t="inlineStr">
        <is>
          <t>Pull-down em cada R_EN dos BTS7960 (2) + reservas. ⚠️ Garante que pino solto = driver desligado — ficou ainda mais crítico com os 24 V permanentes na entrada dos BTS</t>
        </is>
      </c>
      <c r="E148" s="6" t="inlineStr"/>
      <c r="F148" s="7">
        <f>HYPERLINK("https://lista.mercadolivre.com.br/resistor-10-k-1-4-w","🔎 resistor 10 k 1 4 w")</f>
        <v/>
      </c>
      <c r="G148" s="7">
        <f>HYPERLINK("https://www.amazon.com.br/s?k=resistor+10+k+1+4+w","🔎 Amazon")</f>
        <v/>
      </c>
      <c r="H148" s="15">
        <f>HYPERLINK("https://pt.aliexpress.com/w/wholesale-1-4w-resistor-kit-assorted.html","🌏 1/4W resistor kit assorted")</f>
        <v/>
      </c>
      <c r="I148" s="8" t="inlineStr"/>
      <c r="J148" s="9" t="inlineStr"/>
      <c r="K148" s="9">
        <f>IF(C148*J148=0,"",C148*J148)</f>
        <v/>
      </c>
    </row>
    <row r="149">
      <c r="A149" s="10" t="n">
        <v>132</v>
      </c>
      <c r="B149" s="11" t="inlineStr">
        <is>
          <t>Resistor 22 kΩ 1/4 W ⬆</t>
        </is>
      </c>
      <c r="C149" s="10" t="inlineStr">
        <is>
          <t>2</t>
        </is>
      </c>
      <c r="D149" s="11" t="inlineStr">
        <is>
          <t>Braço superior do divisor de realimentação de tensão para o pino D25</t>
        </is>
      </c>
      <c r="E149" s="11" t="inlineStr"/>
      <c r="F149" s="12">
        <f>HYPERLINK("https://lista.mercadolivre.com.br/resistor-22-k-1-4-w","🔎 resistor 22 k 1 4 w")</f>
        <v/>
      </c>
      <c r="G149" s="12">
        <f>HYPERLINK("https://www.amazon.com.br/s?k=resistor+22+k+1+4+w","🔎 Amazon")</f>
        <v/>
      </c>
      <c r="H149" s="16">
        <f>HYPERLINK("https://pt.aliexpress.com/w/wholesale-1-4w-resistor-kit-assorted.html","🌏 1/4W resistor kit assorted")</f>
        <v/>
      </c>
      <c r="I149" s="13" t="inlineStr"/>
      <c r="J149" s="14" t="inlineStr"/>
      <c r="K149" s="14">
        <f>IF(C149*J149=0,"",C149*J149)</f>
        <v/>
      </c>
    </row>
    <row r="150">
      <c r="A150" s="5" t="n">
        <v>133</v>
      </c>
      <c r="B150" s="6" t="inlineStr">
        <is>
          <t>Resistor 4,7 kΩ 1/4 W</t>
        </is>
      </c>
      <c r="C150" s="5" t="inlineStr">
        <is>
          <t>2</t>
        </is>
      </c>
      <c r="D150" s="6" t="inlineStr">
        <is>
          <t>Braço inferior do mesmo divisor</t>
        </is>
      </c>
      <c r="E150" s="6" t="inlineStr"/>
      <c r="F150" s="7">
        <f>HYPERLINK("https://lista.mercadolivre.com.br/resistor-4-7-k-1-4-w","🔎 resistor 4,7 k 1 4 w")</f>
        <v/>
      </c>
      <c r="G150" s="7">
        <f>HYPERLINK("https://www.amazon.com.br/s?k=resistor+4%2C7+k+1+4+w","🔎 Amazon")</f>
        <v/>
      </c>
      <c r="H150" s="15">
        <f>HYPERLINK("https://pt.aliexpress.com/w/wholesale-1-4w-resistor-kit-assorted.html","🌏 1/4W resistor kit assorted")</f>
        <v/>
      </c>
      <c r="I150" s="8" t="inlineStr"/>
      <c r="J150" s="9" t="inlineStr"/>
      <c r="K150" s="9">
        <f>IF(C150*J150=0,"",C150*J150)</f>
        <v/>
      </c>
    </row>
    <row r="151" ht="22" customHeight="1">
      <c r="A151" s="4" t="inlineStr">
        <is>
          <t>L.3 — Atuadores térmicos e ventilação</t>
        </is>
      </c>
    </row>
    <row r="152">
      <c r="A152" s="5" t="n">
        <v>134</v>
      </c>
      <c r="B152" s="6" t="inlineStr">
        <is>
          <t>Pastilha Peltier TEC1-12706</t>
        </is>
      </c>
      <c r="C152" s="5" t="inlineStr">
        <is>
          <t>3</t>
        </is>
      </c>
      <c r="D152" s="6" t="inlineStr">
        <is>
          <t>12 V / ~6 A / 60 W cada. 2 em uso, ligadas EM SÉRIE (24 V / 6,0 A / 144 W) + 1 reserva. ⚠️ Comprar do mesmo lote/vendedor — em série as duas conduzem a mesma corrente, e pastilhas descasadas trabalham desequilibradas</t>
        </is>
      </c>
      <c r="E152" s="6" t="inlineStr"/>
      <c r="F152" s="7">
        <f>HYPERLINK("https://lista.mercadolivre.com.br/pastilha-peltier-tec1-12706","🔎 pastilha peltier tec1 12706")</f>
        <v/>
      </c>
      <c r="G152" s="7">
        <f>HYPERLINK("https://www.amazon.com.br/s?k=pastilha+peltier+tec1+12706","🔎 Amazon")</f>
        <v/>
      </c>
      <c r="H152" s="15">
        <f>HYPERLINK("https://pt.aliexpress.com/w/wholesale-tec1-12706-peltier-module.html","🌏 TEC1-12706 peltier module")</f>
        <v/>
      </c>
      <c r="I152" s="8" t="inlineStr"/>
      <c r="J152" s="9" t="inlineStr"/>
      <c r="K152" s="9">
        <f>IF(C152*J152=0,"",C152*J152)</f>
        <v/>
      </c>
    </row>
    <row r="153">
      <c r="A153" s="10" t="n">
        <v>135</v>
      </c>
      <c r="B153" s="11" t="inlineStr">
        <is>
          <t>Aquecedor PTC cerâmico 24 V / 80 W</t>
        </is>
      </c>
      <c r="C153" s="10" t="inlineStr">
        <is>
          <t>1</t>
        </is>
      </c>
      <c r="D153" s="11" t="inlineStr">
        <is>
          <t>Com aletas e ventilador, versão de 24 V (~3,3 A) para ligar direto no barramento. ⚠️ 60 W não existe no mercado brasileiro — as versões reais são 80 W, 100 W e 150 W. Use a de 80 W: fica bem equilibrada contra os ~60 W de capacidade de refrigeração das 2 Peltier, e mantém a corrente em 3,3 A (metade da Peltier). A de 150 W passaria a ser o pior caso do ramal (6,25 A) e desequilibra o controle. Buscar aquecedor ptc 24v ventilador</t>
        </is>
      </c>
      <c r="E153" s="11" t="inlineStr"/>
      <c r="F153" s="12">
        <f>HYPERLINK("https://lista.mercadolivre.com.br/aquecedor-ptc-ceramico-24-v-80-w","🔎 aquecedor ptc ceramico 24 v ")</f>
        <v/>
      </c>
      <c r="G153" s="12">
        <f>HYPERLINK("https://www.amazon.com.br/s?k=aquecedor+ptc+ceramico+24+v+80+w","🔎 Amazon")</f>
        <v/>
      </c>
      <c r="H153" s="16">
        <f>HYPERLINK("https://pt.aliexpress.com/w/wholesale-24v-ptc-heater-element-with-fan.html","🌏 24V PTC heater element wit")</f>
        <v/>
      </c>
      <c r="I153" s="13" t="inlineStr"/>
      <c r="J153" s="14" t="inlineStr"/>
      <c r="K153" s="14">
        <f>IF(C153*J153=0,"",C153*J153)</f>
        <v/>
      </c>
    </row>
    <row r="154">
      <c r="A154" s="5" t="n">
        <v>136</v>
      </c>
      <c r="B154" s="6" t="inlineStr">
        <is>
          <t>Dissipador + cooler 80 mm p/ lado quente da Peltier</t>
        </is>
      </c>
      <c r="C154" s="5" t="inlineStr">
        <is>
          <t>2</t>
        </is>
      </c>
      <c r="D154" s="6" t="inlineStr">
        <is>
          <t>Um para cada pastilha. ⚠️ 3 fios (com sinal de RPM) nos dois — o firmware monitora os dois tacômetros e bloqueia a refrigeração se qualquer um parar</t>
        </is>
      </c>
      <c r="E154" s="6" t="inlineStr"/>
      <c r="F154" s="7">
        <f>HYPERLINK("https://lista.mercadolivre.com.br/dissipador-cooler-80-mm-p-lado-quente","🔎 dissipador cooler 80 mm p la")</f>
        <v/>
      </c>
      <c r="G154" s="7">
        <f>HYPERLINK("https://www.amazon.com.br/s?k=dissipador+cooler+80+mm+p+lado+quente","🔎 Amazon")</f>
        <v/>
      </c>
      <c r="H154" s="15">
        <f>HYPERLINK("https://pt.aliexpress.com/w/wholesale-80mm-heatsink-fan-cpu-cooler-3pin.html","🌏 80mm heatsink fan CPU cool")</f>
        <v/>
      </c>
      <c r="I154" s="8" t="inlineStr"/>
      <c r="J154" s="9" t="inlineStr"/>
      <c r="K154" s="9">
        <f>IF(C154*J154=0,"",C154*J154)</f>
        <v/>
      </c>
    </row>
    <row r="155">
      <c r="A155" s="10" t="n">
        <v>137</v>
      </c>
      <c r="B155" s="11" t="inlineStr">
        <is>
          <t>Pasta térmica</t>
        </is>
      </c>
      <c r="C155" s="10" t="inlineStr">
        <is>
          <t>1</t>
        </is>
      </c>
      <c r="D155" s="11" t="inlineStr">
        <is>
          <t>Seringa 5 g — dá para os 2 conjuntos</t>
        </is>
      </c>
      <c r="E155" s="11" t="inlineStr"/>
      <c r="F155" s="12">
        <f>HYPERLINK("https://lista.mercadolivre.com.br/pasta-termica","🔎 pasta termica")</f>
        <v/>
      </c>
      <c r="G155" s="12">
        <f>HYPERLINK("https://www.amazon.com.br/s?k=pasta+termica","🔎 Amazon")</f>
        <v/>
      </c>
      <c r="H155" s="16">
        <f>HYPERLINK("https://pt.aliexpress.com/w/wholesale-thermal-paste-syringe.html","🌏 thermal paste syringe")</f>
        <v/>
      </c>
      <c r="I155" s="13" t="inlineStr"/>
      <c r="J155" s="14" t="inlineStr"/>
      <c r="K155" s="14">
        <f>IF(C155*J155=0,"",C155*J155)</f>
        <v/>
      </c>
    </row>
    <row r="156">
      <c r="A156" s="5" t="n">
        <v>138</v>
      </c>
      <c r="B156" s="6" t="inlineStr">
        <is>
          <t>Fan 60 × 60 mm 12 V</t>
        </is>
      </c>
      <c r="C156" s="5" t="inlineStr">
        <is>
          <t>2</t>
        </is>
      </c>
      <c r="D156" s="6" t="inlineStr">
        <is>
          <t>Internas — lado PTC (1 sopra ↑, 1 sopra ↓)</t>
        </is>
      </c>
      <c r="E156" s="6" t="inlineStr"/>
      <c r="F156" s="7">
        <f>HYPERLINK("https://lista.mercadolivre.com.br/fan-60-60-mm-12-v","🔎 fan 60 60 mm 12 v")</f>
        <v/>
      </c>
      <c r="G156" s="7">
        <f>HYPERLINK("https://www.amazon.com.br/s?k=fan+60+60+mm+12+v","🔎 Amazon")</f>
        <v/>
      </c>
      <c r="H156" s="15">
        <f>HYPERLINK("https://pt.aliexpress.com/w/wholesale-60mm-fan-12v-dc.html","🌏 60mm fan 12V DC")</f>
        <v/>
      </c>
      <c r="I156" s="8" t="inlineStr"/>
      <c r="J156" s="9" t="inlineStr"/>
      <c r="K156" s="9">
        <f>IF(C156*J156=0,"",C156*J156)</f>
        <v/>
      </c>
    </row>
    <row r="157">
      <c r="A157" s="10" t="n">
        <v>139</v>
      </c>
      <c r="B157" s="11" t="inlineStr">
        <is>
          <t>Fan 40 × 40 mm 12 V</t>
        </is>
      </c>
      <c r="C157" s="10" t="inlineStr">
        <is>
          <t>2</t>
        </is>
      </c>
      <c r="D157" s="11" t="inlineStr">
        <is>
          <t>Internas — lado Peltier (1 sopra ↓, 1 sopra ↑)</t>
        </is>
      </c>
      <c r="E157" s="11" t="inlineStr"/>
      <c r="F157" s="12">
        <f>HYPERLINK("https://lista.mercadolivre.com.br/fan-40-40-mm-12-v","🔎 fan 40 40 mm 12 v")</f>
        <v/>
      </c>
      <c r="G157" s="12">
        <f>HYPERLINK("https://www.amazon.com.br/s?k=fan+40+40+mm+12+v","🔎 Amazon")</f>
        <v/>
      </c>
      <c r="H157" s="16">
        <f>HYPERLINK("https://pt.aliexpress.com/w/wholesale-40mm-fan-12v-dc.html","🌏 40mm fan 12V DC")</f>
        <v/>
      </c>
      <c r="I157" s="13" t="inlineStr"/>
      <c r="J157" s="14" t="inlineStr"/>
      <c r="K157" s="14">
        <f>IF(C157*J157=0,"",C157*J157)</f>
        <v/>
      </c>
    </row>
    <row r="158" ht="22" customHeight="1">
      <c r="A158" s="4" t="inlineStr">
        <is>
          <t>L.4 — Sensores</t>
        </is>
      </c>
    </row>
    <row r="159">
      <c r="A159" s="10" t="n">
        <v>140</v>
      </c>
      <c r="B159" s="11" t="inlineStr">
        <is>
          <t>Sensor DS18B20 à prova d'água</t>
        </is>
      </c>
      <c r="C159" s="10" t="inlineStr">
        <is>
          <t>1</t>
        </is>
      </c>
      <c r="D159" s="11" t="inlineStr">
        <is>
          <t>1-Wire, ±0,5 °C — centro da câmara</t>
        </is>
      </c>
      <c r="E159" s="11" t="inlineStr"/>
      <c r="F159" s="12">
        <f>HYPERLINK("https://lista.mercadolivre.com.br/sensor-ds18b20-prova-d-agua","🔎 sensor ds18b20 prova d agua")</f>
        <v/>
      </c>
      <c r="G159" s="12">
        <f>HYPERLINK("https://www.amazon.com.br/s?k=sensor+ds18b20+prova+d+agua","🔎 Amazon")</f>
        <v/>
      </c>
      <c r="H159" s="16">
        <f>HYPERLINK("https://pt.aliexpress.com/w/wholesale-ds18b20-waterproof-temperature-sensor.html","🌏 DS18B20 waterproof tempera")</f>
        <v/>
      </c>
      <c r="I159" s="13" t="inlineStr"/>
      <c r="J159" s="14" t="inlineStr"/>
      <c r="K159" s="14">
        <f>IF(C159*J159=0,"",C159*J159)</f>
        <v/>
      </c>
    </row>
    <row r="160">
      <c r="A160" s="5" t="n">
        <v>141</v>
      </c>
      <c r="B160" s="6" t="inlineStr">
        <is>
          <t>Resistor 4,7 kΩ 1/4 W</t>
        </is>
      </c>
      <c r="C160" s="5" t="inlineStr">
        <is>
          <t>2</t>
        </is>
      </c>
      <c r="D160" s="6" t="inlineStr">
        <is>
          <t>Pull-up do barramento 1-Wire</t>
        </is>
      </c>
      <c r="E160" s="6" t="inlineStr"/>
      <c r="F160" s="7">
        <f>HYPERLINK("https://lista.mercadolivre.com.br/resistor-4-7-k-1-4-w","🔎 resistor 4,7 k 1 4 w")</f>
        <v/>
      </c>
      <c r="G160" s="7">
        <f>HYPERLINK("https://www.amazon.com.br/s?k=resistor+4%2C7+k+1+4+w","🔎 Amazon")</f>
        <v/>
      </c>
      <c r="H160" s="15">
        <f>HYPERLINK("https://pt.aliexpress.com/w/wholesale-1-4w-resistor-kit-assorted.html","🌏 1/4W resistor kit assorted")</f>
        <v/>
      </c>
      <c r="I160" s="8" t="inlineStr"/>
      <c r="J160" s="9" t="inlineStr"/>
      <c r="K160" s="9">
        <f>IF(C160*J160=0,"",C160*J160)</f>
        <v/>
      </c>
    </row>
    <row r="161">
      <c r="A161" s="10" t="n">
        <v>142</v>
      </c>
      <c r="B161" s="11" t="inlineStr">
        <is>
          <t>Sensor AM2315C</t>
        </is>
      </c>
      <c r="C161" s="10" t="inlineStr">
        <is>
          <t>1</t>
        </is>
      </c>
      <c r="D161" s="11" t="inlineStr">
        <is>
          <t>I²C, umidade + temperatura, carcaça selada</t>
        </is>
      </c>
      <c r="E161" s="11" t="inlineStr"/>
      <c r="F161" s="12">
        <f>HYPERLINK("https://lista.mercadolivre.com.br/sensor-am2315c","🔎 sensor am2315c")</f>
        <v/>
      </c>
      <c r="G161" s="12">
        <f>HYPERLINK("https://www.amazon.com.br/s?k=sensor+am2315c","🔎 Amazon")</f>
        <v/>
      </c>
      <c r="H161" s="16">
        <f>HYPERLINK("https://pt.aliexpress.com/w/wholesale-am2315c-temperature-humidity-sensor.html","🌏 AM2315C temperature humidi")</f>
        <v/>
      </c>
      <c r="I161" s="13" t="inlineStr"/>
      <c r="J161" s="14" t="inlineStr"/>
      <c r="K161" s="14">
        <f>IF(C161*J161=0,"",C161*J161)</f>
        <v/>
      </c>
    </row>
    <row r="162">
      <c r="A162" s="5" t="n">
        <v>143</v>
      </c>
      <c r="B162" s="6" t="inlineStr">
        <is>
          <t>Capacitor cerâmico 100 nF</t>
        </is>
      </c>
      <c r="C162" s="5" t="inlineStr">
        <is>
          <t>6</t>
        </is>
      </c>
      <c r="D162" s="6" t="inlineStr">
        <is>
          <t>Filtro dos pinos IS dos BTS (2) + filtro do divisor D25 (1) + reservas</t>
        </is>
      </c>
      <c r="E162" s="6" t="inlineStr"/>
      <c r="F162" s="7">
        <f>HYPERLINK("https://lista.mercadolivre.com.br/capacitor-ceramico-100-nf","🔎 capacitor ceramico 100 nf")</f>
        <v/>
      </c>
      <c r="G162" s="7">
        <f>HYPERLINK("https://www.amazon.com.br/s?k=capacitor+ceramico+100+nf","🔎 Amazon")</f>
        <v/>
      </c>
      <c r="H162" s="15">
        <f>HYPERLINK("https://pt.aliexpress.com/w/wholesale-100nf-ceramic-capacitor.html","🌏 100nF ceramic capacitor")</f>
        <v/>
      </c>
      <c r="I162" s="8" t="inlineStr"/>
      <c r="J162" s="9" t="inlineStr"/>
      <c r="K162" s="9">
        <f>IF(C162*J162=0,"",C162*J162)</f>
        <v/>
      </c>
    </row>
    <row r="163">
      <c r="A163" s="10" t="n">
        <v>144</v>
      </c>
      <c r="B163" s="11" t="inlineStr">
        <is>
          <t>Resistor 220 Ω 1/4 W</t>
        </is>
      </c>
      <c r="C163" s="10" t="inlineStr">
        <is>
          <t>6</t>
        </is>
      </c>
      <c r="D163" s="11" t="inlineStr">
        <is>
          <t>4 usos + 2 reservas — série dos LEDs brancos da iluminação da maquete (5 V). ⚠️ Não são mais dos sinaleiros do painel, que agora são de 24 V</t>
        </is>
      </c>
      <c r="E163" s="11" t="inlineStr"/>
      <c r="F163" s="12">
        <f>HYPERLINK("https://lista.mercadolivre.com.br/resistor-220-1-4-w","🔎 resistor 220 1 4 w")</f>
        <v/>
      </c>
      <c r="G163" s="12">
        <f>HYPERLINK("https://www.amazon.com.br/s?k=resistor+220+1+4+w","🔎 Amazon")</f>
        <v/>
      </c>
      <c r="H163" s="16">
        <f>HYPERLINK("https://pt.aliexpress.com/w/wholesale-1-4w-resistor-kit-assorted.html","🌏 1/4W resistor kit assorted")</f>
        <v/>
      </c>
      <c r="I163" s="13" t="inlineStr"/>
      <c r="J163" s="14" t="inlineStr"/>
      <c r="K163" s="14">
        <f>IF(C163*J163=0,"",C163*J163)</f>
        <v/>
      </c>
    </row>
    <row r="164" ht="22" customHeight="1">
      <c r="A164" s="4" t="inlineStr">
        <is>
          <t>L.4b — Posições de ensaio (dispositivos sob teste)</t>
        </is>
      </c>
    </row>
    <row r="165">
      <c r="A165" s="10" t="n">
        <v>145</v>
      </c>
      <c r="B165" s="11" t="inlineStr">
        <is>
          <t>Sensor INA219 (módulo I²C)</t>
        </is>
      </c>
      <c r="C165" s="10" t="inlineStr">
        <is>
          <t>4</t>
        </is>
      </c>
      <c r="D165" s="11" t="inlineStr">
        <is>
          <t>Mede tensão e corrente, ±3,2 A. ⚠️ 4 endereços selecionáveis (0x40/0x41/0x44/0x45) — um por posição, todos no mesmo par de fios</t>
        </is>
      </c>
      <c r="E165" s="11" t="inlineStr"/>
      <c r="F165" s="12">
        <f>HYPERLINK("https://lista.mercadolivre.com.br/sensor-ina219","🔎 sensor ina219")</f>
        <v/>
      </c>
      <c r="G165" s="12">
        <f>HYPERLINK("https://www.amazon.com.br/s?k=sensor+ina219","🔎 Amazon")</f>
        <v/>
      </c>
      <c r="H165" s="16">
        <f>HYPERLINK("https://pt.aliexpress.com/w/wholesale-ina219-current-sensor-module.html","🌏 INA219 current sensor modu")</f>
        <v/>
      </c>
      <c r="I165" s="13" t="inlineStr"/>
      <c r="J165" s="14" t="inlineStr"/>
      <c r="K165" s="14">
        <f>IF(C165*J165=0,"",C165*J165)</f>
        <v/>
      </c>
    </row>
    <row r="166">
      <c r="A166" s="5" t="n">
        <v>146</v>
      </c>
      <c r="B166" s="6" t="inlineStr">
        <is>
          <t>Porta-fusível mini automotivo DIN</t>
        </is>
      </c>
      <c r="C166" s="5" t="inlineStr">
        <is>
          <t>4</t>
        </is>
      </c>
      <c r="D166" s="6" t="inlineStr">
        <is>
          <t>F-P1 a F-P4 — proteção individual de cada posição de ensaio</t>
        </is>
      </c>
      <c r="E166" s="6" t="inlineStr"/>
      <c r="F166" s="7">
        <f>HYPERLINK("https://lista.mercadolivre.com.br/porta-fusivel-mini-automotivo-din","🔎 porta fusivel mini automotiv")</f>
        <v/>
      </c>
      <c r="G166" s="7">
        <f>HYPERLINK("https://www.amazon.com.br/s?k=porta+fusivel+mini+automotivo+din","🔎 Amazon")</f>
        <v/>
      </c>
      <c r="H166" s="8" t="inlineStr"/>
      <c r="I166" s="8" t="inlineStr"/>
      <c r="J166" s="9" t="inlineStr"/>
      <c r="K166" s="9">
        <f>IF(C166*J166=0,"",C166*J166)</f>
        <v/>
      </c>
    </row>
    <row r="167">
      <c r="A167" s="10" t="n">
        <v>147</v>
      </c>
      <c r="B167" s="11" t="inlineStr">
        <is>
          <t>Fusível mini automotivo 500 mA</t>
        </is>
      </c>
      <c r="C167" s="10" t="inlineStr">
        <is>
          <t>8</t>
        </is>
      </c>
      <c r="D167" s="11" t="inlineStr">
        <is>
          <t>4 usos + 4 reservas</t>
        </is>
      </c>
      <c r="E167" s="11" t="inlineStr"/>
      <c r="F167" s="12">
        <f>HYPERLINK("https://lista.mercadolivre.com.br/fusivel-mini-automotivo-500-ma","🔎 fusivel mini automotivo 500 ")</f>
        <v/>
      </c>
      <c r="G167" s="12">
        <f>HYPERLINK("https://www.amazon.com.br/s?k=fusivel+mini+automotivo+500+ma","🔎 Amazon")</f>
        <v/>
      </c>
      <c r="H167" s="13" t="inlineStr"/>
      <c r="I167" s="13" t="inlineStr"/>
      <c r="J167" s="14" t="inlineStr"/>
      <c r="K167" s="14">
        <f>IF(C167*J167=0,"",C167*J167)</f>
        <v/>
      </c>
    </row>
    <row r="168">
      <c r="A168" s="5" t="n">
        <v>148</v>
      </c>
      <c r="B168" s="6" t="inlineStr">
        <is>
          <t>Placa ilhada pequena</t>
        </is>
      </c>
      <c r="C168" s="5" t="inlineStr">
        <is>
          <t>4</t>
        </is>
      </c>
      <c r="D168" s="6" t="inlineStr">
        <is>
          <t>~30 × 40 mm — corpo de cada placa simuladora de dispositivo</t>
        </is>
      </c>
      <c r="E168" s="6" t="inlineStr"/>
      <c r="F168" s="7">
        <f>HYPERLINK("https://lista.mercadolivre.com.br/placa-ilhada-pequena","🔎 placa ilhada pequena")</f>
        <v/>
      </c>
      <c r="G168" s="7">
        <f>HYPERLINK("https://www.amazon.com.br/s?k=placa+ilhada+pequena","🔎 Amazon")</f>
        <v/>
      </c>
      <c r="H168" s="15">
        <f>HYPERLINK("https://pt.aliexpress.com/w/wholesale-perfboard-prototype-pcb.html","🌏 perfboard prototype PCB")</f>
        <v/>
      </c>
      <c r="I168" s="8" t="inlineStr"/>
      <c r="J168" s="9" t="inlineStr"/>
      <c r="K168" s="9">
        <f>IF(C168*J168=0,"",C168*J168)</f>
        <v/>
      </c>
    </row>
    <row r="169">
      <c r="A169" s="10" t="n">
        <v>149</v>
      </c>
      <c r="B169" s="11" t="inlineStr">
        <is>
          <t>Resistor 220 Ω / 5 W</t>
        </is>
      </c>
      <c r="C169" s="10" t="inlineStr">
        <is>
          <t>4</t>
        </is>
      </c>
      <c r="D169" s="11" t="inlineStr">
        <is>
          <t>Carga térmica de cada simulador (~3 W). ⚠️ 5 W, não 1/4 W</t>
        </is>
      </c>
      <c r="E169" s="11" t="inlineStr"/>
      <c r="F169" s="12">
        <f>HYPERLINK("https://lista.mercadolivre.com.br/resistor-220-5-w","🔎 resistor 220 5 w")</f>
        <v/>
      </c>
      <c r="G169" s="12">
        <f>HYPERLINK("https://www.amazon.com.br/s?k=resistor+220+5+w","🔎 Amazon")</f>
        <v/>
      </c>
      <c r="H169" s="16">
        <f>HYPERLINK("https://pt.aliexpress.com/w/wholesale-1-4w-resistor-kit-assorted.html","🌏 1/4W resistor kit assorted")</f>
        <v/>
      </c>
      <c r="I169" s="13" t="inlineStr"/>
      <c r="J169" s="14" t="inlineStr"/>
      <c r="K169" s="14">
        <f>IF(C169*J169=0,"",C169*J169)</f>
        <v/>
      </c>
    </row>
    <row r="170">
      <c r="A170" s="5" t="n">
        <v>150</v>
      </c>
      <c r="B170" s="6" t="inlineStr">
        <is>
          <t>Resistor 1,2 kΩ 1/4 W</t>
        </is>
      </c>
      <c r="C170" s="5" t="inlineStr">
        <is>
          <t>4</t>
        </is>
      </c>
      <c r="D170" s="6" t="inlineStr">
        <is>
          <t>Limitador do LED indicador de cada posição</t>
        </is>
      </c>
      <c r="E170" s="6" t="inlineStr"/>
      <c r="F170" s="7">
        <f>HYPERLINK("https://lista.mercadolivre.com.br/resistor-1-2-k-1-4-w","🔎 resistor 1,2 k 1 4 w")</f>
        <v/>
      </c>
      <c r="G170" s="7">
        <f>HYPERLINK("https://www.amazon.com.br/s?k=resistor+1%2C2+k+1+4+w","🔎 Amazon")</f>
        <v/>
      </c>
      <c r="H170" s="15">
        <f>HYPERLINK("https://pt.aliexpress.com/w/wholesale-1-4w-resistor-kit-assorted.html","🌏 1/4W resistor kit assorted")</f>
        <v/>
      </c>
      <c r="I170" s="8" t="inlineStr"/>
      <c r="J170" s="9" t="inlineStr"/>
      <c r="K170" s="9">
        <f>IF(C170*J170=0,"",C170*J170)</f>
        <v/>
      </c>
    </row>
    <row r="171">
      <c r="A171" s="10" t="n">
        <v>151</v>
      </c>
      <c r="B171" s="11" t="inlineStr">
        <is>
          <t>LED 5 mm difuso</t>
        </is>
      </c>
      <c r="C171" s="10" t="inlineStr">
        <is>
          <t>4</t>
        </is>
      </c>
      <c r="D171" s="11" t="inlineStr">
        <is>
          <t>Indica "posição viva", visível pela porta da câmara</t>
        </is>
      </c>
      <c r="E171" s="11" t="inlineStr"/>
      <c r="F171" s="12">
        <f>HYPERLINK("https://lista.mercadolivre.com.br/led-5-mm-difuso","🔎 led 5 mm difuso")</f>
        <v/>
      </c>
      <c r="G171" s="12">
        <f>HYPERLINK("https://www.amazon.com.br/s?k=led+5+mm+difuso","🔎 Amazon")</f>
        <v/>
      </c>
      <c r="H171" s="16">
        <f>HYPERLINK("https://pt.aliexpress.com/w/wholesale-5mm-diffused-led.html","🌏 5mm diffused LED")</f>
        <v/>
      </c>
      <c r="I171" s="13" t="inlineStr"/>
      <c r="J171" s="14" t="inlineStr"/>
      <c r="K171" s="14">
        <f>IF(C171*J171=0,"",C171*J171)</f>
        <v/>
      </c>
    </row>
    <row r="172">
      <c r="A172" s="5" t="n">
        <v>152</v>
      </c>
      <c r="B172" s="6" t="inlineStr">
        <is>
          <t>Micro-chave ou jumper</t>
        </is>
      </c>
      <c r="C172" s="5" t="inlineStr">
        <is>
          <t>4</t>
        </is>
      </c>
      <c r="D172" s="6" t="inlineStr">
        <is>
          <t>⭐ Simula a falha do dispositivo — é o que permite demonstrar a detecção ao vivo na apresentação</t>
        </is>
      </c>
      <c r="E172" s="6" t="inlineStr"/>
      <c r="F172" s="7">
        <f>HYPERLINK("https://lista.mercadolivre.com.br/micro-chave-jumper","🔎 micro chave jumper")</f>
        <v/>
      </c>
      <c r="G172" s="7">
        <f>HYPERLINK("https://www.amazon.com.br/s?k=micro+chave+jumper","🔎 Amazon")</f>
        <v/>
      </c>
      <c r="H172" s="15">
        <f>HYPERLINK("https://pt.aliexpress.com/w/wholesale-spdt-micro-switch-small.html","🌏 SPDT micro switch small")</f>
        <v/>
      </c>
      <c r="I172" s="8" t="inlineStr"/>
      <c r="J172" s="9" t="inlineStr"/>
      <c r="K172" s="9">
        <f>IF(C172*J172=0,"",C172*J172)</f>
        <v/>
      </c>
    </row>
    <row r="173">
      <c r="A173" s="10" t="n">
        <v>153</v>
      </c>
      <c r="B173" s="11" t="inlineStr">
        <is>
          <t>Borne DIN 2,5 mm²</t>
        </is>
      </c>
      <c r="C173" s="10" t="inlineStr">
        <is>
          <t>8</t>
        </is>
      </c>
      <c r="D173" s="11" t="inlineStr">
        <is>
          <t>Entrada e saída de cada posição</t>
        </is>
      </c>
      <c r="E173" s="11" t="inlineStr"/>
      <c r="F173" s="12">
        <f>HYPERLINK("https://lista.mercadolivre.com.br/borne-din-2-5-mm","🔎 borne din 2,5 mm")</f>
        <v/>
      </c>
      <c r="G173" s="12">
        <f>HYPERLINK("https://www.amazon.com.br/s?k=borne+din+2%2C5+mm","🔎 Amazon")</f>
        <v/>
      </c>
      <c r="H173" s="13" t="inlineStr"/>
      <c r="I173" s="13" t="inlineStr"/>
      <c r="J173" s="14" t="inlineStr"/>
      <c r="K173" s="14">
        <f>IF(C173*J173=0,"",C173*J173)</f>
        <v/>
      </c>
    </row>
    <row r="174" ht="22" customHeight="1">
      <c r="A174" s="4" t="inlineStr">
        <is>
          <t>L.5 — Placa de Interface PI-1 (onde os componentes discretos moram)</t>
        </is>
      </c>
    </row>
    <row r="175">
      <c r="A175" s="10" t="n">
        <v>154</v>
      </c>
      <c r="B175" s="11" t="inlineStr">
        <is>
          <t>Placa ilhada (padrão furos isolados)</t>
        </is>
      </c>
      <c r="C175" s="10" t="inlineStr">
        <is>
          <t>1</t>
        </is>
      </c>
      <c r="D175" s="11" t="inlineStr">
        <is>
          <t>~5 × 7 cm. ⚠️ Ilhada, não de barramento — na de barramento você acaba tendo que cortar trilha, e é dali que saem os curtos difíceis de achar</t>
        </is>
      </c>
      <c r="E175" s="11" t="inlineStr"/>
      <c r="F175" s="12">
        <f>HYPERLINK("https://lista.mercadolivre.com.br/placa-ilhada","🔎 placa ilhada")</f>
        <v/>
      </c>
      <c r="G175" s="12">
        <f>HYPERLINK("https://www.amazon.com.br/s?k=placa+ilhada","🔎 Amazon")</f>
        <v/>
      </c>
      <c r="H175" s="16">
        <f>HYPERLINK("https://pt.aliexpress.com/w/wholesale-perfboard-prototype-pcb.html","🌏 perfboard prototype PCB")</f>
        <v/>
      </c>
      <c r="I175" s="13" t="inlineStr"/>
      <c r="J175" s="14" t="inlineStr"/>
      <c r="K175" s="14">
        <f>IF(C175*J175=0,"",C175*J175)</f>
        <v/>
      </c>
    </row>
    <row r="176">
      <c r="A176" s="5" t="n">
        <v>155</v>
      </c>
      <c r="B176" s="6" t="inlineStr">
        <is>
          <t>Caixa modular para trilho DIN — 3 módulos (52,5 mm)</t>
        </is>
      </c>
      <c r="C176" s="5" t="inlineStr">
        <is>
          <t>1</t>
        </is>
      </c>
      <c r="D176" s="6" t="inlineStr">
        <is>
          <t>Invólucro da PI-1. Cabe no espaço livre do trilho 3, ao lado do Arduino. Buscar caixa para trilho din 3m modular</t>
        </is>
      </c>
      <c r="E176" s="6" t="inlineStr"/>
      <c r="F176" s="7">
        <f>HYPERLINK("https://lista.mercadolivre.com.br/caixa-modular-trilho-din","🔎 caixa modular trilho din")</f>
        <v/>
      </c>
      <c r="G176" s="7">
        <f>HYPERLINK("https://www.amazon.com.br/s?k=caixa+modular+trilho+din","🔎 Amazon")</f>
        <v/>
      </c>
      <c r="H176" s="8" t="inlineStr"/>
      <c r="I176" s="8" t="inlineStr"/>
      <c r="J176" s="9" t="inlineStr"/>
      <c r="K176" s="9">
        <f>IF(C176*J176=0,"",C176*J176)</f>
        <v/>
      </c>
    </row>
    <row r="177">
      <c r="A177" s="10" t="n">
        <v>156</v>
      </c>
      <c r="B177" s="11" t="inlineStr">
        <is>
          <t>Borne KF350 / KRE passo 3,5 mm — 10 vias</t>
        </is>
      </c>
      <c r="C177" s="10" t="inlineStr">
        <is>
          <t>2</t>
        </is>
      </c>
      <c r="D177" s="11" t="inlineStr">
        <is>
          <t>Um borne superior (lado Arduino) e um inferior (lado campo). Passo de 3,5 mm porque todos os cabos são de 0,25 mm²</t>
        </is>
      </c>
      <c r="E177" s="11" t="inlineStr"/>
      <c r="F177" s="12">
        <f>HYPERLINK("https://lista.mercadolivre.com.br/borne-kf350-kre-passo-3-5-mm","🔎 borne kf350 kre passo 3,5 mm")</f>
        <v/>
      </c>
      <c r="G177" s="12">
        <f>HYPERLINK("https://www.amazon.com.br/s?k=borne+kf350+kre+passo+3%2C5+mm","🔎 Amazon")</f>
        <v/>
      </c>
      <c r="H177" s="16">
        <f>HYPERLINK("https://pt.aliexpress.com/w/wholesale-kf350-3-5mm-pcb-screw-terminal-block.html","🌏 KF350 3.5mm PCB screw term")</f>
        <v/>
      </c>
      <c r="I177" s="13" t="inlineStr"/>
      <c r="J177" s="14" t="inlineStr"/>
      <c r="K177" s="14">
        <f>IF(C177*J177=0,"",C177*J177)</f>
        <v/>
      </c>
    </row>
    <row r="178">
      <c r="A178" s="5" t="n">
        <v>157</v>
      </c>
      <c r="B178" s="6" t="inlineStr">
        <is>
          <t>CI ULN2803A (DIP 18 pinos)</t>
        </is>
      </c>
      <c r="C178" s="5" t="inlineStr">
        <is>
          <t>2</t>
        </is>
      </c>
      <c r="D178" s="6" t="inlineStr">
        <is>
          <t>Driver dos 4 sinaleiros de 24 V — 8 canais Darlington, 500 mA/50 V, com diodos de proteção internos. 1 uso + 1 reserva (o CI é barato e é o único ponto onde 24 V encosta na lógica)</t>
        </is>
      </c>
      <c r="E178" s="6" t="inlineStr"/>
      <c r="F178" s="7">
        <f>HYPERLINK("https://lista.mercadolivre.com.br/ci-uln2803a","🔎 ci uln2803a")</f>
        <v/>
      </c>
      <c r="G178" s="7">
        <f>HYPERLINK("https://www.amazon.com.br/s?k=ci+uln2803a","🔎 Amazon")</f>
        <v/>
      </c>
      <c r="H178" s="15">
        <f>HYPERLINK("https://pt.aliexpress.com/w/wholesale-uln2803a-dip18-darlington.html","🌏 ULN2803A DIP18 darlington")</f>
        <v/>
      </c>
      <c r="I178" s="8" t="inlineStr"/>
      <c r="J178" s="9" t="inlineStr"/>
      <c r="K178" s="9">
        <f>IF(C178*J178=0,"",C178*J178)</f>
        <v/>
      </c>
    </row>
    <row r="179">
      <c r="A179" s="10" t="n">
        <v>158</v>
      </c>
      <c r="B179" s="11" t="inlineStr">
        <is>
          <t>Soquete DIP 18 pinos</t>
        </is>
      </c>
      <c r="C179" s="10" t="inlineStr">
        <is>
          <t>1</t>
        </is>
      </c>
      <c r="D179" s="11" t="inlineStr">
        <is>
          <t>⚠️ Solde o soquete, não o CI. Permite trocar o chip sem dessoldar nada</t>
        </is>
      </c>
      <c r="E179" s="11" t="inlineStr"/>
      <c r="F179" s="12">
        <f>HYPERLINK("https://lista.mercadolivre.com.br/soquete-dip-18-pinos","🔎 soquete dip 18 pinos")</f>
        <v/>
      </c>
      <c r="G179" s="12">
        <f>HYPERLINK("https://www.amazon.com.br/s?k=soquete+dip+18+pinos","🔎 Amazon")</f>
        <v/>
      </c>
      <c r="H179" s="16">
        <f>HYPERLINK("https://pt.aliexpress.com/w/wholesale-dip18-ic-socket.html","🌏 DIP18 IC socket")</f>
        <v/>
      </c>
      <c r="I179" s="13" t="inlineStr"/>
      <c r="J179" s="14" t="inlineStr"/>
      <c r="K179" s="14">
        <f>IF(C179*J179=0,"",C179*J179)</f>
        <v/>
      </c>
    </row>
    <row r="180">
      <c r="A180" s="5" t="n">
        <v>159</v>
      </c>
      <c r="B180" s="6" t="inlineStr">
        <is>
          <t>Fio rígido 0,25 mm² para interligação</t>
        </is>
      </c>
      <c r="C180" s="5" t="inlineStr">
        <is>
          <t>1 m</t>
        </is>
      </c>
      <c r="D180" s="6" t="inlineStr">
        <is>
          <t>Ligações por baixo da placa. ⚠️ Não usar "sobra de perna" de componente em trecho longo — oxida e não é isolada</t>
        </is>
      </c>
      <c r="E180" s="6" t="inlineStr"/>
      <c r="F180" s="7">
        <f>HYPERLINK("https://lista.mercadolivre.com.br/fio-rigido-0-25-mm-interligacao","🔎 fio rigido 0,25 mm interliga")</f>
        <v/>
      </c>
      <c r="G180" s="7">
        <f>HYPERLINK("https://www.amazon.com.br/s?k=fio+rigido+0%2C25+mm+interligacao","🔎 Amazon")</f>
        <v/>
      </c>
      <c r="H180" s="8" t="inlineStr"/>
      <c r="I180" s="8" t="inlineStr"/>
      <c r="J180" s="9" t="inlineStr"/>
      <c r="K180" s="9">
        <f>IF(C180*J180=0,"",C180*J180)</f>
        <v/>
      </c>
    </row>
    <row r="181">
      <c r="A181" s="10" t="n">
        <v>160</v>
      </c>
      <c r="B181" s="11" t="inlineStr">
        <is>
          <t>Verniz spray para PCI (ou esmalte incolor)</t>
        </is>
      </c>
      <c r="C181" s="10" t="inlineStr">
        <is>
          <t>1</t>
        </is>
      </c>
      <c r="D181" s="11" t="inlineStr">
        <is>
          <t>Proteção do lado da solda contra umidade e oxidação</t>
        </is>
      </c>
      <c r="E181" s="11" t="inlineStr"/>
      <c r="F181" s="12">
        <f>HYPERLINK("https://lista.mercadolivre.com.br/verniz-spray-pci","🔎 verniz spray pci")</f>
        <v/>
      </c>
      <c r="G181" s="12">
        <f>HYPERLINK("https://www.amazon.com.br/s?k=verniz+spray+pci","🔎 Amazon")</f>
        <v/>
      </c>
      <c r="H181" s="13" t="inlineStr"/>
      <c r="I181" s="13" t="inlineStr"/>
      <c r="J181" s="14" t="inlineStr"/>
      <c r="K181" s="14">
        <f>IF(C181*J181=0,"",C181*J181)</f>
        <v/>
      </c>
    </row>
    <row r="182">
      <c r="A182" s="5" t="n">
        <v>161</v>
      </c>
      <c r="B182" s="6" t="inlineStr">
        <is>
          <t>Termorretrátil Ø 2 mm</t>
        </is>
      </c>
      <c r="C182" s="5" t="inlineStr">
        <is>
          <t>30 cm</t>
        </is>
      </c>
      <c r="D182" s="6" t="inlineStr">
        <is>
          <t>Isolação dos 2 resistores de 10 kΩ soldados nos BTS7960</t>
        </is>
      </c>
      <c r="E182" s="6" t="inlineStr"/>
      <c r="F182" s="7">
        <f>HYPERLINK("https://lista.mercadolivre.com.br/termorretratil-2-mm","🔎 termorretratil 2 mm")</f>
        <v/>
      </c>
      <c r="G182" s="7">
        <f>HYPERLINK("https://www.amazon.com.br/s?k=termorretratil+2+mm","🔎 Amazon")</f>
        <v/>
      </c>
      <c r="H182" s="15">
        <f>HYPERLINK("https://pt.aliexpress.com/w/wholesale-heat-shrink-tubing-kit.html","🌏 heat shrink tubing kit")</f>
        <v/>
      </c>
      <c r="I182" s="8" t="inlineStr"/>
      <c r="J182" s="9" t="inlineStr"/>
      <c r="K182" s="9">
        <f>IF(C182*J182=0,"",C182*J182)</f>
        <v/>
      </c>
    </row>
    <row r="183">
      <c r="A183" s="10" t="n">
        <v>162</v>
      </c>
      <c r="B183" s="11" t="inlineStr">
        <is>
          <t>Etiqueta impressa em papel adesivo</t>
        </is>
      </c>
      <c r="C183" s="10" t="inlineStr">
        <is>
          <t>1</t>
        </is>
      </c>
      <c r="D183" s="11" t="inlineStr">
        <is>
          <t>Identificação das 20 vias na frente da caixa — é o que torna a placa auditável</t>
        </is>
      </c>
      <c r="E183" s="11" t="inlineStr"/>
      <c r="F183" s="12">
        <f>HYPERLINK("https://lista.mercadolivre.com.br/etiqueta-impressa-papel-adesivo","🔎 etiqueta impressa papel ades")</f>
        <v/>
      </c>
      <c r="G183" s="12">
        <f>HYPERLINK("https://www.amazon.com.br/s?k=etiqueta+impressa+papel+adesivo","🔎 Amazon")</f>
        <v/>
      </c>
      <c r="H183" s="13" t="inlineStr"/>
      <c r="I183" s="13" t="inlineStr"/>
      <c r="J183" s="14" t="inlineStr"/>
      <c r="K183" s="14">
        <f>IF(C183*J183=0,"",C183*J183)</f>
        <v/>
      </c>
    </row>
    <row r="184" ht="22" customHeight="1">
      <c r="A184" s="4" t="inlineStr">
        <is>
          <t>🔧 CAMADA 3 — CABOS E ACESSÓRIOS</t>
        </is>
      </c>
    </row>
    <row r="185">
      <c r="A185" s="10" t="n">
        <v>163</v>
      </c>
      <c r="B185" s="11" t="inlineStr">
        <is>
          <t>Cabo flexível 1,5 mm² preto</t>
        </is>
      </c>
      <c r="C185" s="10" t="inlineStr">
        <is>
          <t>3 m</t>
        </is>
      </c>
      <c r="D185" s="11" t="inlineStr">
        <is>
          <t>750 V</t>
        </is>
      </c>
      <c r="E185" s="11" t="inlineStr">
        <is>
          <t>Retorno geral 0 V (6,9 A — soma dos 3 ramais)</t>
        </is>
      </c>
      <c r="F185" s="12">
        <f>HYPERLINK("https://lista.mercadolivre.com.br/cabo-flexivel-1-5-mm-preto","🔎 cabo flexivel 1,5 mm preto")</f>
        <v/>
      </c>
      <c r="G185" s="12">
        <f>HYPERLINK("https://www.amazon.com.br/s?k=cabo+flexivel+1%2C5+mm+preto","🔎 Amazon")</f>
        <v/>
      </c>
      <c r="H185" s="13" t="inlineStr"/>
      <c r="I185" s="13" t="inlineStr"/>
      <c r="J185" s="14" t="inlineStr"/>
      <c r="K185" s="14">
        <f>IF(C185*J185=0,"",C185*J185)</f>
        <v/>
      </c>
    </row>
    <row r="186">
      <c r="A186" s="5" t="n">
        <v>164</v>
      </c>
      <c r="B186" s="6" t="inlineStr">
        <is>
          <t>Cabo flexível 1,5 mm² vermelho</t>
        </is>
      </c>
      <c r="C186" s="5" t="inlineStr">
        <is>
          <t>2 m</t>
        </is>
      </c>
      <c r="D186" s="6" t="inlineStr">
        <is>
          <t>750 V</t>
        </is>
      </c>
      <c r="E186" s="6" t="inlineStr">
        <is>
          <t>24 V de potência — P1 → painel → BTS (6,0 A)</t>
        </is>
      </c>
      <c r="F186" s="7">
        <f>HYPERLINK("https://lista.mercadolivre.com.br/cabo-flexivel-1-5-mm-vermelho","🔎 cabo flexivel 1,5 mm vermelh")</f>
        <v/>
      </c>
      <c r="G186" s="7">
        <f>HYPERLINK("https://www.amazon.com.br/s?k=cabo+flexivel+1%2C5+mm+vermelho","🔎 Amazon")</f>
        <v/>
      </c>
      <c r="H186" s="8" t="inlineStr"/>
      <c r="I186" s="8" t="inlineStr"/>
      <c r="J186" s="9" t="inlineStr"/>
      <c r="K186" s="9">
        <f>IF(C186*J186=0,"",C186*J186)</f>
        <v/>
      </c>
    </row>
    <row r="187">
      <c r="A187" s="10" t="n">
        <v>165</v>
      </c>
      <c r="B187" s="11" t="inlineStr">
        <is>
          <t>Cabo flexível 0,75 mm² vermelho/preto</t>
        </is>
      </c>
      <c r="C187" s="10" t="inlineStr">
        <is>
          <t>3 m</t>
        </is>
      </c>
      <c r="D187" s="11" t="inlineStr">
        <is>
          <t>750 V</t>
        </is>
      </c>
      <c r="E187" s="11" t="inlineStr">
        <is>
          <t>Barramento 24 V (trechos internos) e saída de 12 V do T3 (1,0 A)</t>
        </is>
      </c>
      <c r="F187" s="12">
        <f>HYPERLINK("https://lista.mercadolivre.com.br/cabo-flexivel-0-75-mm-vermelho-preto","🔎 cabo flexivel 0,75 mm vermel")</f>
        <v/>
      </c>
      <c r="G187" s="12">
        <f>HYPERLINK("https://www.amazon.com.br/s?k=cabo+flexivel+0%2C75+mm+vermelho+preto","🔎 Amazon")</f>
        <v/>
      </c>
      <c r="H187" s="13" t="inlineStr"/>
      <c r="I187" s="13" t="inlineStr"/>
      <c r="J187" s="14" t="inlineStr"/>
      <c r="K187" s="14">
        <f>IF(C187*J187=0,"",C187*J187)</f>
        <v/>
      </c>
    </row>
    <row r="188">
      <c r="A188" s="5" t="n">
        <v>166</v>
      </c>
      <c r="B188" s="6" t="inlineStr">
        <is>
          <t>Cabo flexível 0,5 mm² (5 cores)</t>
        </is>
      </c>
      <c r="C188" s="5" t="inlineStr">
        <is>
          <t>10 m</t>
        </is>
      </c>
      <c r="D188" s="6" t="inlineStr">
        <is>
          <t>750 V</t>
        </is>
      </c>
      <c r="E188" s="6" t="inlineStr">
        <is>
          <t>5 V e derivações do 12 V auxiliar</t>
        </is>
      </c>
      <c r="F188" s="7">
        <f>HYPERLINK("https://lista.mercadolivre.com.br/cabo-flexivel-0-5-mm","🔎 cabo flexivel 0,5 mm")</f>
        <v/>
      </c>
      <c r="G188" s="7">
        <f>HYPERLINK("https://www.amazon.com.br/s?k=cabo+flexivel+0%2C5+mm","🔎 Amazon")</f>
        <v/>
      </c>
      <c r="H188" s="8" t="inlineStr"/>
      <c r="I188" s="8" t="inlineStr"/>
      <c r="J188" s="9" t="inlineStr"/>
      <c r="K188" s="9">
        <f>IF(C188*J188=0,"",C188*J188)</f>
        <v/>
      </c>
    </row>
    <row r="189">
      <c r="A189" s="10" t="n">
        <v>167</v>
      </c>
      <c r="B189" s="11" t="inlineStr">
        <is>
          <t>Cabo flexível 0,25 mm² (8 cores)</t>
        </is>
      </c>
      <c r="C189" s="10" t="inlineStr">
        <is>
          <t>15 m</t>
        </is>
      </c>
      <c r="D189" s="11" t="inlineStr">
        <is>
          <t>Sinais</t>
        </is>
      </c>
      <c r="E189" s="11" t="inlineStr">
        <is>
          <t>Sensores, botões, comunicação</t>
        </is>
      </c>
      <c r="F189" s="12">
        <f>HYPERLINK("https://lista.mercadolivre.com.br/cabo-flexivel-0-25-mm","🔎 cabo flexivel 0,25 mm")</f>
        <v/>
      </c>
      <c r="G189" s="12">
        <f>HYPERLINK("https://www.amazon.com.br/s?k=cabo+flexivel+0%2C25+mm","🔎 Amazon")</f>
        <v/>
      </c>
      <c r="H189" s="13" t="inlineStr"/>
      <c r="I189" s="13" t="inlineStr"/>
      <c r="J189" s="14" t="inlineStr"/>
      <c r="K189" s="14">
        <f>IF(C189*J189=0,"",C189*J189)</f>
        <v/>
      </c>
    </row>
    <row r="190">
      <c r="A190" s="5" t="n">
        <v>168</v>
      </c>
      <c r="B190" s="6" t="inlineStr">
        <is>
          <t>Cabo par trançado blindado 2×0,25 mm²</t>
        </is>
      </c>
      <c r="C190" s="5" t="inlineStr">
        <is>
          <t>2 m</t>
        </is>
      </c>
      <c r="D190" s="6" t="inlineStr">
        <is>
          <t>Blindado, malha aterrada em um ponto</t>
        </is>
      </c>
      <c r="E190" s="6" t="inlineStr">
        <is>
          <t>I²C e 1-Wire (trecho câmara → painel)</t>
        </is>
      </c>
      <c r="F190" s="7">
        <f>HYPERLINK("https://lista.mercadolivre.com.br/cabo-par-trancado-blindado-2-0-25-mm","🔎 cabo par trancado blindado 2")</f>
        <v/>
      </c>
      <c r="G190" s="7">
        <f>HYPERLINK("https://www.amazon.com.br/s?k=cabo+par+trancado+blindado+2+0%2C25+mm","🔎 Amazon")</f>
        <v/>
      </c>
      <c r="H190" s="8" t="inlineStr"/>
      <c r="I190" s="8" t="inlineStr"/>
      <c r="J190" s="9" t="inlineStr"/>
      <c r="K190" s="9">
        <f>IF(C190*J190=0,"",C190*J190)</f>
        <v/>
      </c>
    </row>
    <row r="191">
      <c r="A191" s="10" t="n">
        <v>169</v>
      </c>
      <c r="B191" s="11" t="inlineStr">
        <is>
          <t>Terminal tubular (ilhós) 0,25 / 0,5 / 1,5 mm²</t>
        </is>
      </c>
      <c r="C191" s="10" t="inlineStr">
        <is>
          <t>1 kit</t>
        </is>
      </c>
      <c r="D191" s="11" t="inlineStr">
        <is>
          <t>Com colarinho colorido</t>
        </is>
      </c>
      <c r="E191" s="11" t="inlineStr">
        <is>
          <t>Obrigatório em todo borne parafuso</t>
        </is>
      </c>
      <c r="F191" s="12">
        <f>HYPERLINK("https://lista.mercadolivre.com.br/terminal-tubular-0-25-0-5-1-5-mm","🔎 terminal tubular 0,25 0,5 1,")</f>
        <v/>
      </c>
      <c r="G191" s="12">
        <f>HYPERLINK("https://www.amazon.com.br/s?k=terminal+tubular+0%2C25+0%2C5+1%2C5+mm","🔎 Amazon")</f>
        <v/>
      </c>
      <c r="H191" s="13" t="inlineStr"/>
      <c r="I191" s="13" t="inlineStr"/>
      <c r="J191" s="14" t="inlineStr"/>
      <c r="K191" s="14">
        <f>IF(C191*J191=0,"",C191*J191)</f>
        <v/>
      </c>
    </row>
    <row r="192">
      <c r="A192" s="5" t="n">
        <v>170</v>
      </c>
      <c r="B192" s="6" t="inlineStr">
        <is>
          <t>Alicate de crimpar terminal tubular</t>
        </is>
      </c>
      <c r="C192" s="5" t="inlineStr">
        <is>
          <t>1</t>
        </is>
      </c>
      <c r="D192" s="6" t="inlineStr">
        <is>
          <t>Tipo quadrado/hexagonal</t>
        </is>
      </c>
      <c r="E192" s="6" t="inlineStr">
        <is>
          <t>Ferramenta</t>
        </is>
      </c>
      <c r="F192" s="7">
        <f>HYPERLINK("https://lista.mercadolivre.com.br/alicate-crimpar-terminal-tubular","🔎 alicate crimpar terminal tub")</f>
        <v/>
      </c>
      <c r="G192" s="7">
        <f>HYPERLINK("https://www.amazon.com.br/s?k=alicate+crimpar+terminal+tubular","🔎 Amazon")</f>
        <v/>
      </c>
      <c r="H192" s="8" t="inlineStr"/>
      <c r="I192" s="8" t="inlineStr"/>
      <c r="J192" s="9" t="inlineStr"/>
      <c r="K192" s="9">
        <f>IF(C192*J192=0,"",C192*J192)</f>
        <v/>
      </c>
    </row>
    <row r="193">
      <c r="A193" s="10" t="n">
        <v>171</v>
      </c>
      <c r="B193" s="11" t="inlineStr">
        <is>
          <t>Terminal olhal M4</t>
        </is>
      </c>
      <c r="C193" s="10" t="inlineStr">
        <is>
          <t>10</t>
        </is>
      </c>
      <c r="D193" s="11" t="inlineStr">
        <is>
          <t>Amarelo/vermelho</t>
        </is>
      </c>
      <c r="E193" s="11" t="inlineStr">
        <is>
          <t>Aterramento</t>
        </is>
      </c>
      <c r="F193" s="12">
        <f>HYPERLINK("https://lista.mercadolivre.com.br/terminal-olhal-m4","🔎 terminal olhal m4")</f>
        <v/>
      </c>
      <c r="G193" s="12">
        <f>HYPERLINK("https://www.amazon.com.br/s?k=terminal+olhal+m4","🔎 Amazon")</f>
        <v/>
      </c>
      <c r="H193" s="13" t="inlineStr"/>
      <c r="I193" s="13" t="inlineStr"/>
      <c r="J193" s="14" t="inlineStr"/>
      <c r="K193" s="14">
        <f>IF(C193*J193=0,"",C193*J193)</f>
        <v/>
      </c>
    </row>
    <row r="194">
      <c r="A194" s="5" t="n">
        <v>172</v>
      </c>
      <c r="B194" s="6" t="inlineStr">
        <is>
          <t>Espaguete termorretrátil (kit)</t>
        </is>
      </c>
      <c r="C194" s="5" t="inlineStr">
        <is>
          <t>1</t>
        </is>
      </c>
      <c r="D194" s="6" t="inlineStr">
        <is>
          <t>Diversas bitolas</t>
        </is>
      </c>
      <c r="E194" s="6" t="inlineStr">
        <is>
          <t>Isolação de emendas</t>
        </is>
      </c>
      <c r="F194" s="7">
        <f>HYPERLINK("https://lista.mercadolivre.com.br/espaguete-termorretratil","🔎 espaguete termorretratil")</f>
        <v/>
      </c>
      <c r="G194" s="7">
        <f>HYPERLINK("https://www.amazon.com.br/s?k=espaguete+termorretratil","🔎 Amazon")</f>
        <v/>
      </c>
      <c r="H194" s="15">
        <f>HYPERLINK("https://pt.aliexpress.com/w/wholesale-heat-shrink-tubing-kit.html","🌏 heat shrink tubing kit")</f>
        <v/>
      </c>
      <c r="I194" s="8" t="inlineStr"/>
      <c r="J194" s="9" t="inlineStr"/>
      <c r="K194" s="9">
        <f>IF(C194*J194=0,"",C194*J194)</f>
        <v/>
      </c>
    </row>
    <row r="195">
      <c r="A195" s="10" t="n">
        <v>173</v>
      </c>
      <c r="B195" s="11" t="inlineStr">
        <is>
          <t>Abraçadeiras de nylon 100 mm</t>
        </is>
      </c>
      <c r="C195" s="10" t="inlineStr">
        <is>
          <t>100</t>
        </is>
      </c>
      <c r="D195" s="11" t="inlineStr">
        <is>
          <t>—</t>
        </is>
      </c>
      <c r="E195" s="11" t="inlineStr">
        <is>
          <t>Amarração</t>
        </is>
      </c>
      <c r="F195" s="12">
        <f>HYPERLINK("https://lista.mercadolivre.com.br/abracadeiras-nylon-100-mm","🔎 abracadeiras nylon 100 mm")</f>
        <v/>
      </c>
      <c r="G195" s="12">
        <f>HYPERLINK("https://www.amazon.com.br/s?k=abracadeiras+nylon+100+mm","🔎 Amazon")</f>
        <v/>
      </c>
      <c r="H195" s="13" t="inlineStr"/>
      <c r="I195" s="13" t="inlineStr"/>
      <c r="J195" s="14" t="inlineStr"/>
      <c r="K195" s="14">
        <f>IF(C195*J195=0,"",C195*J195)</f>
        <v/>
      </c>
    </row>
    <row r="196">
      <c r="A196" s="5" t="n">
        <v>174</v>
      </c>
      <c r="B196" s="6" t="inlineStr">
        <is>
          <t>Anilhas de identificação de cabo</t>
        </is>
      </c>
      <c r="C196" s="5" t="inlineStr">
        <is>
          <t>1 kit</t>
        </is>
      </c>
      <c r="D196" s="6" t="inlineStr">
        <is>
          <t>Numeradas 0–9</t>
        </is>
      </c>
      <c r="E196" s="6" t="inlineStr">
        <is>
          <t>Identificação (norma de painel)</t>
        </is>
      </c>
      <c r="F196" s="7">
        <f>HYPERLINK("https://lista.mercadolivre.com.br/anilhas-identificacao-cabo","🔎 anilhas identificacao cabo")</f>
        <v/>
      </c>
      <c r="G196" s="7">
        <f>HYPERLINK("https://www.amazon.com.br/s?k=anilhas+identificacao+cabo","🔎 Amazon")</f>
        <v/>
      </c>
      <c r="H196" s="8" t="inlineStr"/>
      <c r="I196" s="8" t="inlineStr"/>
      <c r="J196" s="9" t="inlineStr"/>
      <c r="K196" s="9">
        <f>IF(C196*J196=0,"",C196*J196)</f>
        <v/>
      </c>
    </row>
    <row r="197">
      <c r="A197" s="10" t="n">
        <v>175</v>
      </c>
      <c r="B197" s="11" t="inlineStr">
        <is>
          <t>Espiral organizador Ø 8 mm</t>
        </is>
      </c>
      <c r="C197" s="10" t="inlineStr">
        <is>
          <t>2 m</t>
        </is>
      </c>
      <c r="D197" s="11" t="inlineStr">
        <is>
          <t>—</t>
        </is>
      </c>
      <c r="E197" s="11" t="inlineStr">
        <is>
          <t>Chicote painel → câmara</t>
        </is>
      </c>
      <c r="F197" s="12">
        <f>HYPERLINK("https://lista.mercadolivre.com.br/espiral-organizador-8-mm","🔎 espiral organizador 8 mm")</f>
        <v/>
      </c>
      <c r="G197" s="12">
        <f>HYPERLINK("https://www.amazon.com.br/s?k=espiral+organizador+8+mm","🔎 Amazon")</f>
        <v/>
      </c>
      <c r="H197" s="13" t="inlineStr"/>
      <c r="I197" s="13" t="inlineStr"/>
      <c r="J197" s="14" t="inlineStr"/>
      <c r="K197" s="14">
        <f>IF(C197*J197=0,"",C197*J197)</f>
        <v/>
      </c>
    </row>
    <row r="199">
      <c r="I199" s="17" t="inlineStr">
        <is>
          <t>TOTAL GERAL</t>
        </is>
      </c>
      <c r="K199" s="18">
        <f>SUM(K5:K197)</f>
        <v/>
      </c>
    </row>
  </sheetData>
  <autoFilter ref="A4:K197"/>
  <mergeCells count="20">
    <mergeCell ref="A58:K58"/>
    <mergeCell ref="A142:K142"/>
    <mergeCell ref="A1:K1"/>
    <mergeCell ref="A88:K88"/>
    <mergeCell ref="A128:K128"/>
    <mergeCell ref="A174:K174"/>
    <mergeCell ref="A164:K164"/>
    <mergeCell ref="A158:K158"/>
    <mergeCell ref="A74:K74"/>
    <mergeCell ref="A104:K104"/>
    <mergeCell ref="A2:K2"/>
    <mergeCell ref="A151:K151"/>
    <mergeCell ref="A14:K14"/>
    <mergeCell ref="A5:K5"/>
    <mergeCell ref="A23:K23"/>
    <mergeCell ref="A184:K184"/>
    <mergeCell ref="A38:K38"/>
    <mergeCell ref="A28:K28"/>
    <mergeCell ref="A93:K93"/>
    <mergeCell ref="A44:K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52" customWidth="1" min="4" max="4"/>
  </cols>
  <sheetData>
    <row r="1" ht="28" customHeight="1">
      <c r="A1" s="19" t="inlineStr">
        <is>
          <t>ORDEM DE CONSTRUÇÃO — 5 camadas</t>
        </is>
      </c>
    </row>
    <row r="3">
      <c r="A3" s="20" t="inlineStr">
        <is>
          <t>Camada</t>
        </is>
      </c>
      <c r="B3" s="20" t="inlineStr">
        <is>
          <t>Nome</t>
        </is>
      </c>
      <c r="C3" s="20" t="inlineStr">
        <is>
          <t>Documentos</t>
        </is>
      </c>
      <c r="D3" s="20" t="inlineStr">
        <is>
          <t>Critério de aceitação</t>
        </is>
      </c>
    </row>
    <row r="4">
      <c r="A4" s="21" t="inlineStr">
        <is>
          <t>CAMADA 0</t>
        </is>
      </c>
      <c r="B4" s="22" t="inlineStr">
        <is>
          <t>Fundamentos</t>
        </is>
      </c>
      <c r="C4" s="22" t="inlineStr">
        <is>
          <t>Visão geral · Arquitetura de energia · BOM</t>
        </is>
      </c>
      <c r="D4" s="22" t="inlineStr">
        <is>
          <t>Entregável: BOM fechada e cálculos feitos</t>
        </is>
      </c>
    </row>
    <row r="5">
      <c r="A5" s="21" t="inlineStr">
        <is>
          <t>CAMADA 1</t>
        </is>
      </c>
      <c r="B5" s="22" t="inlineStr">
        <is>
          <t>Maquete</t>
        </is>
      </c>
      <c r="C5" s="22" t="inlineStr">
        <is>
          <t>Base e chão de fábrica · Subestação e postes · Câmara térmica</t>
        </is>
      </c>
      <c r="D5" s="22" t="inlineStr">
        <is>
          <t>Entregável: cenário pronto, sem eletrônica</t>
        </is>
      </c>
    </row>
    <row r="6">
      <c r="A6" s="21" t="inlineStr">
        <is>
          <t>CAMADA 2</t>
        </is>
      </c>
      <c r="B6" s="22" t="inlineStr">
        <is>
          <t>Painel</t>
        </is>
      </c>
      <c r="C6" s="22" t="inlineStr">
        <is>
          <t>Dimensionamento · Layout · Furação · Fixação nos trilhos</t>
        </is>
      </c>
      <c r="D6" s="22" t="inlineStr">
        <is>
          <t>Entregável: painel montado, sem um fio ligado</t>
        </is>
      </c>
    </row>
    <row r="7">
      <c r="A7" s="21" t="inlineStr">
        <is>
          <t>CAMADA 3</t>
        </is>
      </c>
      <c r="B7" s="22" t="inlineStr">
        <is>
          <t>Elétrica</t>
        </is>
      </c>
      <c r="C7" s="22" t="inlineStr">
        <is>
          <t>Força e distribuição · Comando e proteções · Sinais e sensores</t>
        </is>
      </c>
      <c r="D7" s="22" t="inlineStr">
        <is>
          <t>Entregável: energizado e medido, sem firmware</t>
        </is>
      </c>
    </row>
    <row r="8">
      <c r="A8" s="21" t="inlineStr">
        <is>
          <t>CAMADA 4</t>
        </is>
      </c>
      <c r="B8" s="22" t="inlineStr">
        <is>
          <t>Programação</t>
        </is>
      </c>
      <c r="C8" s="22" t="inlineStr">
        <is>
          <t>Firmware Arduino · ESP32, IHM e IoT</t>
        </is>
      </c>
      <c r="D8" s="22" t="inlineStr">
        <is>
          <t>Entregável: software gravado e testado em bancada</t>
        </is>
      </c>
    </row>
    <row r="9">
      <c r="A9" s="21" t="inlineStr">
        <is>
          <t>CAMADA 5</t>
        </is>
      </c>
      <c r="B9" s="22" t="inlineStr">
        <is>
          <t>Integração</t>
        </is>
      </c>
      <c r="C9" s="22" t="inlineStr">
        <is>
          <t>Montagem final · Comissionamento · Ensaios</t>
        </is>
      </c>
      <c r="D9" s="22" t="inlineStr">
        <is>
          <t>Entregável: projeto funcionando e documentado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28" customHeight="1">
      <c r="A1" s="19" t="inlineStr">
        <is>
          <t>NÚMEROS DO PROJETO</t>
        </is>
      </c>
    </row>
    <row r="3">
      <c r="A3" s="23" t="inlineStr">
        <is>
          <t>Arquitetura de energia</t>
        </is>
      </c>
      <c r="B3" s="24" t="inlineStr">
        <is>
          <t>Potência em 24 V — carga térmica sem conversor</t>
        </is>
      </c>
    </row>
    <row r="4">
      <c r="A4" s="25" t="inlineStr">
        <is>
          <t>Tensão de entrada</t>
        </is>
      </c>
      <c r="B4" s="26" t="inlineStr">
        <is>
          <t>127 V CA</t>
        </is>
      </c>
    </row>
    <row r="5">
      <c r="A5" s="23" t="inlineStr">
        <is>
          <t>Barramento de distribuição</t>
        </is>
      </c>
      <c r="B5" s="24" t="inlineStr">
        <is>
          <t>24 V CC (SELV)</t>
        </is>
      </c>
    </row>
    <row r="6">
      <c r="A6" s="25" t="inlineStr">
        <is>
          <t>Potência instalada (fonte)</t>
        </is>
      </c>
      <c r="B6" s="26" t="inlineStr">
        <is>
          <t>240 W · 10 A</t>
        </is>
      </c>
    </row>
    <row r="7">
      <c r="A7" s="23" t="inlineStr">
        <is>
          <t>Consumo calculado</t>
        </is>
      </c>
      <c r="B7" s="24" t="inlineStr">
        <is>
          <t>≈ 166 W · 6,9 A @ 24 V</t>
        </is>
      </c>
    </row>
    <row r="8">
      <c r="A8" s="25" t="inlineStr">
        <is>
          <t>Folga da fonte</t>
        </is>
      </c>
      <c r="B8" s="26" t="inlineStr">
        <is>
          <t>1,44× (44 %) — a fonte de 150 W NÃO atende</t>
        </is>
      </c>
    </row>
    <row r="9">
      <c r="A9" s="23" t="inlineStr">
        <is>
          <t>Corrente CA de entrada</t>
        </is>
      </c>
      <c r="B9" s="24" t="inlineStr">
        <is>
          <t>2,37 A</t>
        </is>
      </c>
    </row>
    <row r="10">
      <c r="A10" s="25" t="inlineStr">
        <is>
          <t>Queda de tensão na linha dos postes</t>
        </is>
      </c>
      <c r="B10" s="26" t="inlineStr">
        <is>
          <t>0,21 V (0,86 %)</t>
        </is>
      </c>
    </row>
    <row r="11">
      <c r="A11" s="23" t="inlineStr">
        <is>
          <t>Conversores</t>
        </is>
      </c>
      <c r="B11" s="24" t="inlineStr">
        <is>
          <t>2 × LM2596 com display (T2 e T3) · P1 é derivação direta</t>
        </is>
      </c>
    </row>
    <row r="12">
      <c r="A12" s="25" t="inlineStr">
        <is>
          <t>Tensões derivadas</t>
        </is>
      </c>
      <c r="B12" s="26" t="inlineStr">
        <is>
          <t>24,0 V potência (direto) · 12,0 V auxiliar · 5,10 V comando · 3,3 V ESP32</t>
        </is>
      </c>
    </row>
    <row r="13">
      <c r="A13" s="23" t="inlineStr">
        <is>
          <t>Fusíveis dos ramais</t>
        </is>
      </c>
      <c r="B13" s="24" t="inlineStr">
        <is>
          <t>F1 = 10 A · F2 = 2 A · F3 = 2 A (sem F4/F5, sem crowbar)</t>
        </is>
      </c>
    </row>
    <row r="14">
      <c r="A14" s="25" t="inlineStr">
        <is>
          <t>Níveis de proteção</t>
        </is>
      </c>
      <c r="B14" s="26" t="inlineStr">
        <is>
          <t>5 (do disjuntor ao intertravamento por software)</t>
        </is>
      </c>
    </row>
    <row r="15">
      <c r="A15" s="23" t="inlineStr">
        <is>
          <t>Volume útil da câmara</t>
        </is>
      </c>
      <c r="B15" s="24" t="inlineStr">
        <is>
          <t>5,0 litros (200 × 100 × 250 mm)</t>
        </is>
      </c>
    </row>
    <row r="16">
      <c r="A16" s="25" t="inlineStr">
        <is>
          <t>Carga térmica calculada</t>
        </is>
      </c>
      <c r="B16" s="26" t="inlineStr">
        <is>
          <t>≈ 9,5 W</t>
        </is>
      </c>
    </row>
    <row r="17">
      <c r="A17" s="23" t="inlineStr">
        <is>
          <t>Refrigeração</t>
        </is>
      </c>
      <c r="B17" s="24" t="inlineStr">
        <is>
          <t>2 × TEC1-12706 EM SÉRIE · 24 V · 6,0 A · 144 W</t>
        </is>
      </c>
    </row>
    <row r="18">
      <c r="A18" s="25" t="inlineStr">
        <is>
          <t>Capacidade das Peltier a ΔT = 20 K</t>
        </is>
      </c>
      <c r="B18" s="26" t="inlineStr">
        <is>
          <t>≈ 60 W (margem de 6,3×)</t>
        </is>
      </c>
    </row>
    <row r="19">
      <c r="A19" s="23" t="inlineStr">
        <is>
          <t>Dissipação no lado quente</t>
        </is>
      </c>
      <c r="B19" s="24" t="inlineStr">
        <is>
          <t>≈ 200 W — 2 conjuntos dissipador + cooler 80 mm</t>
        </is>
      </c>
    </row>
    <row r="20">
      <c r="A20" s="25" t="inlineStr">
        <is>
          <t>Aquecimento</t>
        </is>
      </c>
      <c r="B20" s="26" t="inlineStr">
        <is>
          <t>PTC cerâmico de 24 V · 60 W · 2,5 A</t>
        </is>
      </c>
    </row>
    <row r="21">
      <c r="A21" s="23" t="inlineStr">
        <is>
          <t>Isolamento</t>
        </is>
      </c>
      <c r="B21" s="24" t="inlineStr">
        <is>
          <t>XPS 30 mm + barreira de vapor · U = 0,86 W/m²·K</t>
        </is>
      </c>
    </row>
    <row r="22">
      <c r="A22" s="25" t="inlineStr">
        <is>
          <t>Porta</t>
        </is>
      </c>
      <c r="B22" s="26" t="inlineStr">
        <is>
          <t>Dupla · U = 2,42 W/m²·K (não condensa)</t>
        </is>
      </c>
    </row>
    <row r="23">
      <c r="A23" s="23" t="inlineStr">
        <is>
          <t>Base da maquete</t>
        </is>
      </c>
      <c r="B23" s="24" t="inlineStr">
        <is>
          <t>1500 × 500 mm · escala cenográfica 1:50</t>
        </is>
      </c>
    </row>
    <row r="24">
      <c r="A24" s="25" t="inlineStr">
        <is>
          <t>Painel</t>
        </is>
      </c>
      <c r="B24" s="26" t="inlineStr">
        <is>
          <t>400 × 500 × 200 mm · 3 trilhos DIN</t>
        </is>
      </c>
    </row>
    <row r="25">
      <c r="A25" s="23" t="inlineStr">
        <is>
          <t>Componentes discretos</t>
        </is>
      </c>
      <c r="B25" s="24" t="inlineStr">
        <is>
          <t>6 + 1 CI ULN2803 na PI-1 · 2 nos BTS7960 · 4 nos postes da maquete</t>
        </is>
      </c>
    </row>
    <row r="26">
      <c r="A26" s="25" t="inlineStr">
        <is>
          <t>Sinalização</t>
        </is>
      </c>
      <c r="B26" s="26" t="inlineStr">
        <is>
          <t>4 sinaleiros 22 mm de 24 V (via ULN2803) · 4 LEDs brancos de 5 V na maquete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2026-08-14T10:42:19Z</dcterms:created>
  <dcterms:modified xsi:type="dcterms:W3CDTF">2026-08-14T10:42:19Z</dcterms:modified>
</cp:coreProperties>
</file>